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設定" sheetId="2" state="visible" r:id="rId2"/>
    <sheet name="月次" sheetId="3" state="visible" r:id="rId3"/>
    <sheet name="内訳" sheetId="4" state="visible" r:id="rId4"/>
    <sheet name="改善シミュレーショ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;[Red]-0.0%;&quot;-&quot;"/>
    <numFmt numFmtId="165" formatCode="0.0;[Red]-0.0;&quot;-&quot;"/>
    <numFmt numFmtId="166" formatCode="yyyy年m月"/>
    <numFmt numFmtId="167" formatCode="#,##0;[Red]-#,##0;&quot;-&quot;"/>
    <numFmt numFmtId="168" formatCode="+0%;-0%;0%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</font>
    <font>
      <name val="Yu Gothic"/>
      <b val="1"/>
    </font>
    <font>
      <name val="Yu Gothic"/>
      <color rgb="000000FF"/>
    </font>
    <font>
      <name val="Yu Gothic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9DB"/>
      </patternFill>
    </fill>
    <fill>
      <patternFill patternType="solid">
        <fgColor rgb="000F6B52"/>
      </patternFill>
    </fill>
    <fill>
      <patternFill patternType="solid">
        <fgColor rgb="005B636E"/>
      </patternFill>
    </fill>
  </fills>
  <borders count="2">
    <border>
      <left/>
      <right/>
      <top/>
      <bottom/>
      <diagonal/>
    </border>
    <border>
      <left style="thin">
        <color rgb="00D0CCC4"/>
      </left>
      <right style="thin">
        <color rgb="00D0CCC4"/>
      </right>
      <top style="thin">
        <color rgb="00D0CCC4"/>
      </top>
      <bottom style="thin">
        <color rgb="00D0CC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1" pivotButton="0" quotePrefix="0" xfId="0"/>
    <xf numFmtId="165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6" fontId="4" fillId="2" borderId="1" pivotButton="0" quotePrefix="0" xfId="0"/>
    <xf numFmtId="167" fontId="4" fillId="2" borderId="1" pivotButton="0" quotePrefix="0" xfId="0"/>
    <xf numFmtId="167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2" fillId="0" borderId="1" pivotButton="0" quotePrefix="0" xfId="0"/>
    <xf numFmtId="1" fontId="2" fillId="0" borderId="1" pivotButton="0" quotePrefix="0" xfId="0"/>
    <xf numFmtId="167" fontId="3" fillId="0" borderId="1" pivotButton="0" quotePrefix="0" xfId="0"/>
    <xf numFmtId="164" fontId="3" fillId="0" borderId="1" pivotButton="0" quotePrefix="0" xfId="0"/>
    <xf numFmtId="168" fontId="4" fillId="2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BE3DC"/>
        </patternFill>
      </fill>
    </dxf>
    <dxf>
      <fill>
        <patternFill patternType="solid">
          <fgColor rgb="00FFF4CC"/>
        </patternFill>
      </fill>
    </dxf>
    <dxf>
      <fill>
        <patternFill patternType="solid">
          <fgColor rgb="00E6F2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Amazon物販 利益・現金・在庫の監査キット</t>
        </is>
      </c>
    </row>
    <row r="2">
      <c r="A2" s="2" t="inlineStr"/>
    </row>
    <row r="3">
      <c r="A3" s="2" t="inlineStr">
        <is>
          <t>入力するのは黄色のセル（青い文字）だけです。ほかは自動で計算されます。【見本】の6か月分は架空の数字です。使うときは上書きしてください。</t>
        </is>
      </c>
    </row>
    <row r="4">
      <c r="A4" s="2" t="inlineStr"/>
    </row>
    <row r="5">
      <c r="A5" s="3" t="inlineStr">
        <is>
          <t>1. 月次シート：1か月1行。数字はセラーセントラルの「ペイメント」→「日付範囲別レポート」と、自分の仕入れの記録から入れる</t>
        </is>
      </c>
    </row>
    <row r="6">
      <c r="A6" s="2" t="inlineStr">
        <is>
          <t xml:space="preserve">   ・販売手数料・FBA配送手数料・保管手数料・返金額：日付範囲別レポートの各合計（マイナス表示ならプラスに直して入れる）</t>
        </is>
      </c>
    </row>
    <row r="7">
      <c r="A7" s="2" t="inlineStr">
        <is>
          <t xml:space="preserve">   ・1個あたり着地原価：工場への支払い＋国際送料＋関税＋通関・検品・国内配送 を、その仕入れの個数で割った額</t>
        </is>
      </c>
    </row>
    <row r="8">
      <c r="A8" s="2" t="inlineStr">
        <is>
          <t xml:space="preserve">   ・返品個数のうち、売り物にならなかった個数を「再販不可」に入れる（再販できた分は在庫に戻るので原価から外れる）</t>
        </is>
      </c>
    </row>
    <row r="9">
      <c r="A9" s="2" t="inlineStr">
        <is>
          <t xml:space="preserve">   ・広告費は、Amazonの入金から引かれていても、カードで払っていても、ここに入れる</t>
        </is>
      </c>
    </row>
    <row r="10">
      <c r="A10" s="2" t="inlineStr">
        <is>
          <t xml:space="preserve">   ・Amazon以外の支払い：カードで払った広告費・倉庫への送料など、入金から引かれていない支払い（現金の増減の計算に使う）</t>
        </is>
      </c>
    </row>
    <row r="11">
      <c r="A11" s="3" t="inlineStr">
        <is>
          <t>2. 判定：赤字＝利益がマイナス／注意＝広告前利益率・返品率・在庫月数のどれかが設定の基準を外れている</t>
        </is>
      </c>
    </row>
    <row r="12">
      <c r="A12" s="3" t="inlineStr">
        <is>
          <t>3. 内訳シート：期間全体で、売上がどこに消えたかを、大きい順に並べる</t>
        </is>
      </c>
    </row>
    <row r="13">
      <c r="A13" s="3" t="inlineStr">
        <is>
          <t>4. 改善シミュレーション：原価・価格・広告・返品・FBA手数料を変えると、1個あたりの利益がどう変わるかを見る</t>
        </is>
      </c>
    </row>
    <row r="14">
      <c r="A14" s="2" t="inlineStr"/>
    </row>
    <row r="15">
      <c r="A15" s="3" t="inlineStr">
        <is>
          <t>見る順番</t>
        </is>
      </c>
    </row>
    <row r="16">
      <c r="A16" s="2" t="inlineStr">
        <is>
          <t>① 1個あたり利益がマイナスの月はないか → ② 広告前利益率が薄すぎないか（薄いと広告と返品で赤字になる） → ③ 内訳の1位はどこか → ④ 在庫月数と現金の増減</t>
        </is>
      </c>
    </row>
    <row r="17">
      <c r="A17" s="2" t="inlineStr"/>
    </row>
    <row r="18">
      <c r="A18" s="2" t="inlineStr">
        <is>
          <t>注意：この表の利益は、事務所・ツール代などの固定費と税金を引く前の数字です。消費税の扱いは、自分の申告方法に合わせて読み替えてください。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70" customWidth="1" min="4" max="4"/>
  </cols>
  <sheetData>
    <row r="1">
      <c r="A1" s="1" t="inlineStr">
        <is>
          <t>判定の基準（初期値。自分の商品に合わせて変える）</t>
        </is>
      </c>
    </row>
    <row r="4">
      <c r="B4" s="3" t="inlineStr">
        <is>
          <t>広告前利益率の下限</t>
        </is>
      </c>
      <c r="C4" s="4" t="n">
        <v>0.1</v>
      </c>
      <c r="D4" s="2" t="inlineStr">
        <is>
          <t>これより薄いと、広告と返品で赤字になりやすい</t>
        </is>
      </c>
    </row>
    <row r="5">
      <c r="B5" s="3" t="inlineStr">
        <is>
          <t>返品率の上限</t>
        </is>
      </c>
      <c r="C5" s="4" t="n">
        <v>0.05</v>
      </c>
      <c r="D5" s="2" t="inlineStr">
        <is>
          <t>これを超えたら、不良・説明文・梱包を点検する</t>
        </is>
      </c>
    </row>
    <row r="6">
      <c r="B6" s="3" t="inlineStr">
        <is>
          <t>在庫月数の上限</t>
        </is>
      </c>
      <c r="C6" s="5" t="n">
        <v>3</v>
      </c>
      <c r="D6" s="2" t="inlineStr">
        <is>
          <t>今の販売ペースで何か月分の在庫か。超えると保管料と資金が寝る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7" customWidth="1" min="10" max="10"/>
    <col width="7" customWidth="1" min="11" max="11"/>
    <col width="10" customWidth="1" min="12" max="12"/>
    <col width="9" customWidth="1" min="13" max="13"/>
    <col width="11" customWidth="1" min="14" max="14"/>
    <col width="11" customWidth="1" min="15" max="15"/>
    <col width="10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0" customWidth="1" min="22" max="22"/>
    <col width="9" customWidth="1" min="23" max="23"/>
    <col width="8" customWidth="1" min="24" max="24"/>
    <col width="8" customWidth="1" min="25" max="25"/>
    <col width="8" customWidth="1" min="26" max="26"/>
    <col width="8" customWidth="1" min="27" max="27"/>
    <col width="7" customWidth="1" min="28" max="28"/>
    <col width="11" customWidth="1" min="29" max="29"/>
    <col width="12" customWidth="1" min="30" max="30"/>
  </cols>
  <sheetData>
    <row r="1">
      <c r="A1" s="1" t="inlineStr">
        <is>
          <t>月次の監査</t>
        </is>
      </c>
    </row>
    <row r="2">
      <c r="A2" s="2" t="inlineStr">
        <is>
          <t>緑の見出し＝入力／灰色の見出し＝自動計算。1か月1行。【見本】の6か月分は架空の数字です。</t>
        </is>
      </c>
    </row>
    <row r="3">
      <c r="A3" s="2" t="inlineStr">
        <is>
          <t>実質売上＝売上−返金額／原価＝（販売個数−再販できた返品）×着地原価／利益＝実質売上−原価−Amazon費用−広告費</t>
        </is>
      </c>
    </row>
    <row r="5" ht="40" customHeight="1">
      <c r="A5" s="6" t="inlineStr">
        <is>
          <t>月</t>
        </is>
      </c>
      <c r="B5" s="6" t="inlineStr">
        <is>
          <t>売上
（税込）</t>
        </is>
      </c>
      <c r="C5" s="6" t="inlineStr">
        <is>
          <t>販売個数</t>
        </is>
      </c>
      <c r="D5" s="6" t="inlineStr">
        <is>
          <t>販売
手数料</t>
        </is>
      </c>
      <c r="E5" s="6" t="inlineStr">
        <is>
          <t>FBA配送
手数料</t>
        </is>
      </c>
      <c r="F5" s="6" t="inlineStr">
        <is>
          <t>在庫
保管手数料</t>
        </is>
      </c>
      <c r="G5" s="6" t="inlineStr">
        <is>
          <t>その他の
Amazon費用</t>
        </is>
      </c>
      <c r="H5" s="6" t="inlineStr">
        <is>
          <t>広告費</t>
        </is>
      </c>
      <c r="I5" s="6" t="inlineStr">
        <is>
          <t>返金額</t>
        </is>
      </c>
      <c r="J5" s="6" t="inlineStr">
        <is>
          <t>返品
個数</t>
        </is>
      </c>
      <c r="K5" s="6" t="inlineStr">
        <is>
          <t>うち
再販不可</t>
        </is>
      </c>
      <c r="L5" s="6" t="inlineStr">
        <is>
          <t>1個あたり
着地原価</t>
        </is>
      </c>
      <c r="M5" s="6" t="inlineStr">
        <is>
          <t>月末の
在庫個数</t>
        </is>
      </c>
      <c r="N5" s="6" t="inlineStr">
        <is>
          <t>仕入れの
支払額</t>
        </is>
      </c>
      <c r="O5" s="6" t="inlineStr">
        <is>
          <t>Amazonから
の入金額</t>
        </is>
      </c>
      <c r="P5" s="6" t="inlineStr">
        <is>
          <t>Amazon以外
の支払い</t>
        </is>
      </c>
      <c r="Q5" s="7" t="inlineStr">
        <is>
          <t>実質売上</t>
        </is>
      </c>
      <c r="R5" s="7" t="inlineStr">
        <is>
          <t>原価</t>
        </is>
      </c>
      <c r="S5" s="7" t="inlineStr">
        <is>
          <t>Amazon
費用合計</t>
        </is>
      </c>
      <c r="T5" s="7" t="inlineStr">
        <is>
          <t>広告前
利益</t>
        </is>
      </c>
      <c r="U5" s="7" t="inlineStr">
        <is>
          <t>利益</t>
        </is>
      </c>
      <c r="V5" s="7" t="inlineStr">
        <is>
          <t>1個あたり
利益</t>
        </is>
      </c>
      <c r="W5" s="7" t="inlineStr">
        <is>
          <t>広告前
利益率</t>
        </is>
      </c>
      <c r="X5" s="7" t="inlineStr">
        <is>
          <t>原価率</t>
        </is>
      </c>
      <c r="Y5" s="7" t="inlineStr">
        <is>
          <t>Amazon
費用率</t>
        </is>
      </c>
      <c r="Z5" s="7" t="inlineStr">
        <is>
          <t>広告
比率</t>
        </is>
      </c>
      <c r="AA5" s="7" t="inlineStr">
        <is>
          <t>返品率</t>
        </is>
      </c>
      <c r="AB5" s="7" t="inlineStr">
        <is>
          <t>在庫
月数</t>
        </is>
      </c>
      <c r="AC5" s="7" t="inlineStr">
        <is>
          <t>現金の
増減</t>
        </is>
      </c>
      <c r="AD5" s="7" t="inlineStr">
        <is>
          <t>判定</t>
        </is>
      </c>
    </row>
    <row r="6">
      <c r="A6" s="8" t="n">
        <v>46113</v>
      </c>
      <c r="B6" s="9" t="n">
        <v>1380000</v>
      </c>
      <c r="C6" s="9" t="n">
        <v>100</v>
      </c>
      <c r="D6" s="9" t="n">
        <v>207000</v>
      </c>
      <c r="E6" s="9" t="n">
        <v>132000</v>
      </c>
      <c r="F6" s="9" t="n">
        <v>9000</v>
      </c>
      <c r="G6" s="9" t="n">
        <v>4000</v>
      </c>
      <c r="H6" s="9" t="n">
        <v>52000</v>
      </c>
      <c r="I6" s="9" t="n">
        <v>41400</v>
      </c>
      <c r="J6" s="9" t="n">
        <v>3</v>
      </c>
      <c r="K6" s="9" t="n">
        <v>1</v>
      </c>
      <c r="L6" s="9" t="n">
        <v>8200</v>
      </c>
      <c r="M6" s="9" t="n">
        <v>420</v>
      </c>
      <c r="N6" s="9" t="n">
        <v>0</v>
      </c>
      <c r="O6" s="9" t="n">
        <v>980000</v>
      </c>
      <c r="P6" s="9" t="n">
        <v>52000</v>
      </c>
      <c r="Q6" s="10">
        <f>IF($B6="","",$B6-$I6)</f>
        <v/>
      </c>
      <c r="R6" s="10">
        <f>IF($B6="","",($C6-($J6-$K6))*$L6)</f>
        <v/>
      </c>
      <c r="S6" s="10">
        <f>IF($B6="","",$D6+$E6+$F6+$G6)</f>
        <v/>
      </c>
      <c r="T6" s="10">
        <f>IF($B6="","",$Q6-$R6-$S6)</f>
        <v/>
      </c>
      <c r="U6" s="10">
        <f>IF($B6="","",$T6-$H6)</f>
        <v/>
      </c>
      <c r="V6" s="10">
        <f>IF($B6="","",IF($C6-$J6&gt;0,$U6/($C6-$J6),""))</f>
        <v/>
      </c>
      <c r="W6" s="11">
        <f>IF(N($Q6)=0,"",$T6/$Q6)</f>
        <v/>
      </c>
      <c r="X6" s="11">
        <f>IF(N($Q6)=0,"",$R6/$Q6)</f>
        <v/>
      </c>
      <c r="Y6" s="11">
        <f>IF(N($B6)=0,"",$S6/$B6)</f>
        <v/>
      </c>
      <c r="Z6" s="11">
        <f>IF(N($B6)=0,"",$H6/$B6)</f>
        <v/>
      </c>
      <c r="AA6" s="11">
        <f>IF(N($C6)=0,"",$J6/$C6)</f>
        <v/>
      </c>
      <c r="AB6" s="12">
        <f>IF($B6="","",IF($C6-$J6&gt;0,$M6/($C6-$J6),""))</f>
        <v/>
      </c>
      <c r="AC6" s="10">
        <f>IF($B6="","",$O6-$N6-$P6)</f>
        <v/>
      </c>
      <c r="AD6" s="13">
        <f>IF($B6="","",IF(N($U6)&lt;0,"赤字",IF(OR(N($W6)&lt;'設定'!$C$4,N($AA6)&gt;'設定'!$C$5,N($AB6)&gt;'設定'!$C$6),"注意","OK")))</f>
        <v/>
      </c>
    </row>
    <row r="7">
      <c r="A7" s="8" t="n">
        <v>46143</v>
      </c>
      <c r="B7" s="9" t="n">
        <v>1518000</v>
      </c>
      <c r="C7" s="9" t="n">
        <v>110</v>
      </c>
      <c r="D7" s="9" t="n">
        <v>227700</v>
      </c>
      <c r="E7" s="9" t="n">
        <v>145200</v>
      </c>
      <c r="F7" s="9" t="n">
        <v>10000</v>
      </c>
      <c r="G7" s="9" t="n">
        <v>4000</v>
      </c>
      <c r="H7" s="9" t="n">
        <v>60000</v>
      </c>
      <c r="I7" s="9" t="n">
        <v>55200</v>
      </c>
      <c r="J7" s="9" t="n">
        <v>4</v>
      </c>
      <c r="K7" s="9" t="n">
        <v>2</v>
      </c>
      <c r="L7" s="9" t="n">
        <v>8200</v>
      </c>
      <c r="M7" s="9" t="n">
        <v>310</v>
      </c>
      <c r="N7" s="9" t="n">
        <v>0</v>
      </c>
      <c r="O7" s="9" t="n">
        <v>1090000</v>
      </c>
      <c r="P7" s="9" t="n">
        <v>60000</v>
      </c>
      <c r="Q7" s="10">
        <f>IF($B7="","",$B7-$I7)</f>
        <v/>
      </c>
      <c r="R7" s="10">
        <f>IF($B7="","",($C7-($J7-$K7))*$L7)</f>
        <v/>
      </c>
      <c r="S7" s="10">
        <f>IF($B7="","",$D7+$E7+$F7+$G7)</f>
        <v/>
      </c>
      <c r="T7" s="10">
        <f>IF($B7="","",$Q7-$R7-$S7)</f>
        <v/>
      </c>
      <c r="U7" s="10">
        <f>IF($B7="","",$T7-$H7)</f>
        <v/>
      </c>
      <c r="V7" s="10">
        <f>IF($B7="","",IF($C7-$J7&gt;0,$U7/($C7-$J7),""))</f>
        <v/>
      </c>
      <c r="W7" s="11">
        <f>IF(N($Q7)=0,"",$T7/$Q7)</f>
        <v/>
      </c>
      <c r="X7" s="11">
        <f>IF(N($Q7)=0,"",$R7/$Q7)</f>
        <v/>
      </c>
      <c r="Y7" s="11">
        <f>IF(N($B7)=0,"",$S7/$B7)</f>
        <v/>
      </c>
      <c r="Z7" s="11">
        <f>IF(N($B7)=0,"",$H7/$B7)</f>
        <v/>
      </c>
      <c r="AA7" s="11">
        <f>IF(N($C7)=0,"",$J7/$C7)</f>
        <v/>
      </c>
      <c r="AB7" s="12">
        <f>IF($B7="","",IF($C7-$J7&gt;0,$M7/($C7-$J7),""))</f>
        <v/>
      </c>
      <c r="AC7" s="10">
        <f>IF($B7="","",$O7-$N7-$P7)</f>
        <v/>
      </c>
      <c r="AD7" s="13">
        <f>IF($B7="","",IF(N($U7)&lt;0,"赤字",IF(OR(N($W7)&lt;'設定'!$C$4,N($AA7)&gt;'設定'!$C$5,N($AB7)&gt;'設定'!$C$6),"注意","OK")))</f>
        <v/>
      </c>
    </row>
    <row r="8">
      <c r="A8" s="8" t="n">
        <v>46174</v>
      </c>
      <c r="B8" s="9" t="n">
        <v>1656000</v>
      </c>
      <c r="C8" s="9" t="n">
        <v>120</v>
      </c>
      <c r="D8" s="9" t="n">
        <v>248400</v>
      </c>
      <c r="E8" s="9" t="n">
        <v>158400</v>
      </c>
      <c r="F8" s="9" t="n">
        <v>9500</v>
      </c>
      <c r="G8" s="9" t="n">
        <v>4000</v>
      </c>
      <c r="H8" s="9" t="n">
        <v>66000</v>
      </c>
      <c r="I8" s="9" t="n">
        <v>41400</v>
      </c>
      <c r="J8" s="9" t="n">
        <v>3</v>
      </c>
      <c r="K8" s="9" t="n">
        <v>1</v>
      </c>
      <c r="L8" s="9" t="n">
        <v>8200</v>
      </c>
      <c r="M8" s="9" t="n">
        <v>190</v>
      </c>
      <c r="N8" s="9" t="n">
        <v>2460000</v>
      </c>
      <c r="O8" s="9" t="n">
        <v>1190000</v>
      </c>
      <c r="P8" s="9" t="n">
        <v>66000</v>
      </c>
      <c r="Q8" s="10">
        <f>IF($B8="","",$B8-$I8)</f>
        <v/>
      </c>
      <c r="R8" s="10">
        <f>IF($B8="","",($C8-($J8-$K8))*$L8)</f>
        <v/>
      </c>
      <c r="S8" s="10">
        <f>IF($B8="","",$D8+$E8+$F8+$G8)</f>
        <v/>
      </c>
      <c r="T8" s="10">
        <f>IF($B8="","",$Q8-$R8-$S8)</f>
        <v/>
      </c>
      <c r="U8" s="10">
        <f>IF($B8="","",$T8-$H8)</f>
        <v/>
      </c>
      <c r="V8" s="10">
        <f>IF($B8="","",IF($C8-$J8&gt;0,$U8/($C8-$J8),""))</f>
        <v/>
      </c>
      <c r="W8" s="11">
        <f>IF(N($Q8)=0,"",$T8/$Q8)</f>
        <v/>
      </c>
      <c r="X8" s="11">
        <f>IF(N($Q8)=0,"",$R8/$Q8)</f>
        <v/>
      </c>
      <c r="Y8" s="11">
        <f>IF(N($B8)=0,"",$S8/$B8)</f>
        <v/>
      </c>
      <c r="Z8" s="11">
        <f>IF(N($B8)=0,"",$H8/$B8)</f>
        <v/>
      </c>
      <c r="AA8" s="11">
        <f>IF(N($C8)=0,"",$J8/$C8)</f>
        <v/>
      </c>
      <c r="AB8" s="12">
        <f>IF($B8="","",IF($C8-$J8&gt;0,$M8/($C8-$J8),""))</f>
        <v/>
      </c>
      <c r="AC8" s="10">
        <f>IF($B8="","",$O8-$N8-$P8)</f>
        <v/>
      </c>
      <c r="AD8" s="13">
        <f>IF($B8="","",IF(N($U8)&lt;0,"赤字",IF(OR(N($W8)&lt;'設定'!$C$4,N($AA8)&gt;'設定'!$C$5,N($AB8)&gt;'設定'!$C$6),"注意","OK")))</f>
        <v/>
      </c>
    </row>
    <row r="9">
      <c r="A9" s="8" t="n">
        <v>46204</v>
      </c>
      <c r="B9" s="9" t="n">
        <v>1794000</v>
      </c>
      <c r="C9" s="9" t="n">
        <v>130</v>
      </c>
      <c r="D9" s="9" t="n">
        <v>269100</v>
      </c>
      <c r="E9" s="9" t="n">
        <v>171600</v>
      </c>
      <c r="F9" s="9" t="n">
        <v>12000</v>
      </c>
      <c r="G9" s="9" t="n">
        <v>4000</v>
      </c>
      <c r="H9" s="9" t="n">
        <v>78000</v>
      </c>
      <c r="I9" s="9" t="n">
        <v>69000</v>
      </c>
      <c r="J9" s="9" t="n">
        <v>5</v>
      </c>
      <c r="K9" s="9" t="n">
        <v>3</v>
      </c>
      <c r="L9" s="9" t="n">
        <v>8400</v>
      </c>
      <c r="M9" s="9" t="n">
        <v>560</v>
      </c>
      <c r="N9" s="9" t="n">
        <v>0</v>
      </c>
      <c r="O9" s="9" t="n">
        <v>1260000</v>
      </c>
      <c r="P9" s="9" t="n">
        <v>78000</v>
      </c>
      <c r="Q9" s="10">
        <f>IF($B9="","",$B9-$I9)</f>
        <v/>
      </c>
      <c r="R9" s="10">
        <f>IF($B9="","",($C9-($J9-$K9))*$L9)</f>
        <v/>
      </c>
      <c r="S9" s="10">
        <f>IF($B9="","",$D9+$E9+$F9+$G9)</f>
        <v/>
      </c>
      <c r="T9" s="10">
        <f>IF($B9="","",$Q9-$R9-$S9)</f>
        <v/>
      </c>
      <c r="U9" s="10">
        <f>IF($B9="","",$T9-$H9)</f>
        <v/>
      </c>
      <c r="V9" s="10">
        <f>IF($B9="","",IF($C9-$J9&gt;0,$U9/($C9-$J9),""))</f>
        <v/>
      </c>
      <c r="W9" s="11">
        <f>IF(N($Q9)=0,"",$T9/$Q9)</f>
        <v/>
      </c>
      <c r="X9" s="11">
        <f>IF(N($Q9)=0,"",$R9/$Q9)</f>
        <v/>
      </c>
      <c r="Y9" s="11">
        <f>IF(N($B9)=0,"",$S9/$B9)</f>
        <v/>
      </c>
      <c r="Z9" s="11">
        <f>IF(N($B9)=0,"",$H9/$B9)</f>
        <v/>
      </c>
      <c r="AA9" s="11">
        <f>IF(N($C9)=0,"",$J9/$C9)</f>
        <v/>
      </c>
      <c r="AB9" s="12">
        <f>IF($B9="","",IF($C9-$J9&gt;0,$M9/($C9-$J9),""))</f>
        <v/>
      </c>
      <c r="AC9" s="10">
        <f>IF($B9="","",$O9-$N9-$P9)</f>
        <v/>
      </c>
      <c r="AD9" s="13">
        <f>IF($B9="","",IF(N($U9)&lt;0,"赤字",IF(OR(N($W9)&lt;'設定'!$C$4,N($AA9)&gt;'設定'!$C$5,N($AB9)&gt;'設定'!$C$6),"注意","OK")))</f>
        <v/>
      </c>
    </row>
    <row r="10">
      <c r="A10" s="8" t="n">
        <v>46235</v>
      </c>
      <c r="B10" s="9" t="n">
        <v>1656000</v>
      </c>
      <c r="C10" s="9" t="n">
        <v>120</v>
      </c>
      <c r="D10" s="9" t="n">
        <v>248400</v>
      </c>
      <c r="E10" s="9" t="n">
        <v>158400</v>
      </c>
      <c r="F10" s="9" t="n">
        <v>15000</v>
      </c>
      <c r="G10" s="9" t="n">
        <v>4000</v>
      </c>
      <c r="H10" s="9" t="n">
        <v>84000</v>
      </c>
      <c r="I10" s="9" t="n">
        <v>82800</v>
      </c>
      <c r="J10" s="9" t="n">
        <v>6</v>
      </c>
      <c r="K10" s="9" t="n">
        <v>3</v>
      </c>
      <c r="L10" s="9" t="n">
        <v>8400</v>
      </c>
      <c r="M10" s="9" t="n">
        <v>440</v>
      </c>
      <c r="N10" s="9" t="n">
        <v>0</v>
      </c>
      <c r="O10" s="9" t="n">
        <v>1170000</v>
      </c>
      <c r="P10" s="9" t="n">
        <v>84000</v>
      </c>
      <c r="Q10" s="10">
        <f>IF($B10="","",$B10-$I10)</f>
        <v/>
      </c>
      <c r="R10" s="10">
        <f>IF($B10="","",($C10-($J10-$K10))*$L10)</f>
        <v/>
      </c>
      <c r="S10" s="10">
        <f>IF($B10="","",$D10+$E10+$F10+$G10)</f>
        <v/>
      </c>
      <c r="T10" s="10">
        <f>IF($B10="","",$Q10-$R10-$S10)</f>
        <v/>
      </c>
      <c r="U10" s="10">
        <f>IF($B10="","",$T10-$H10)</f>
        <v/>
      </c>
      <c r="V10" s="10">
        <f>IF($B10="","",IF($C10-$J10&gt;0,$U10/($C10-$J10),""))</f>
        <v/>
      </c>
      <c r="W10" s="11">
        <f>IF(N($Q10)=0,"",$T10/$Q10)</f>
        <v/>
      </c>
      <c r="X10" s="11">
        <f>IF(N($Q10)=0,"",$R10/$Q10)</f>
        <v/>
      </c>
      <c r="Y10" s="11">
        <f>IF(N($B10)=0,"",$S10/$B10)</f>
        <v/>
      </c>
      <c r="Z10" s="11">
        <f>IF(N($B10)=0,"",$H10/$B10)</f>
        <v/>
      </c>
      <c r="AA10" s="11">
        <f>IF(N($C10)=0,"",$J10/$C10)</f>
        <v/>
      </c>
      <c r="AB10" s="12">
        <f>IF($B10="","",IF($C10-$J10&gt;0,$M10/($C10-$J10),""))</f>
        <v/>
      </c>
      <c r="AC10" s="10">
        <f>IF($B10="","",$O10-$N10-$P10)</f>
        <v/>
      </c>
      <c r="AD10" s="13">
        <f>IF($B10="","",IF(N($U10)&lt;0,"赤字",IF(OR(N($W10)&lt;'設定'!$C$4,N($AA10)&gt;'設定'!$C$5,N($AB10)&gt;'設定'!$C$6),"注意","OK")))</f>
        <v/>
      </c>
    </row>
    <row r="11">
      <c r="A11" s="8" t="n">
        <v>46266</v>
      </c>
      <c r="B11" s="9" t="n">
        <v>1380000</v>
      </c>
      <c r="C11" s="9" t="n">
        <v>100</v>
      </c>
      <c r="D11" s="9" t="n">
        <v>207000</v>
      </c>
      <c r="E11" s="9" t="n">
        <v>132000</v>
      </c>
      <c r="F11" s="9" t="n">
        <v>18000</v>
      </c>
      <c r="G11" s="9" t="n">
        <v>4000</v>
      </c>
      <c r="H11" s="9" t="n">
        <v>90000</v>
      </c>
      <c r="I11" s="9" t="n">
        <v>55200</v>
      </c>
      <c r="J11" s="9" t="n">
        <v>4</v>
      </c>
      <c r="K11" s="9" t="n">
        <v>2</v>
      </c>
      <c r="L11" s="9" t="n">
        <v>8400</v>
      </c>
      <c r="M11" s="9" t="n">
        <v>900</v>
      </c>
      <c r="N11" s="9" t="n">
        <v>4200000</v>
      </c>
      <c r="O11" s="9" t="n">
        <v>990000</v>
      </c>
      <c r="P11" s="9" t="n">
        <v>90000</v>
      </c>
      <c r="Q11" s="10">
        <f>IF($B11="","",$B11-$I11)</f>
        <v/>
      </c>
      <c r="R11" s="10">
        <f>IF($B11="","",($C11-($J11-$K11))*$L11)</f>
        <v/>
      </c>
      <c r="S11" s="10">
        <f>IF($B11="","",$D11+$E11+$F11+$G11)</f>
        <v/>
      </c>
      <c r="T11" s="10">
        <f>IF($B11="","",$Q11-$R11-$S11)</f>
        <v/>
      </c>
      <c r="U11" s="10">
        <f>IF($B11="","",$T11-$H11)</f>
        <v/>
      </c>
      <c r="V11" s="10">
        <f>IF($B11="","",IF($C11-$J11&gt;0,$U11/($C11-$J11),""))</f>
        <v/>
      </c>
      <c r="W11" s="11">
        <f>IF(N($Q11)=0,"",$T11/$Q11)</f>
        <v/>
      </c>
      <c r="X11" s="11">
        <f>IF(N($Q11)=0,"",$R11/$Q11)</f>
        <v/>
      </c>
      <c r="Y11" s="11">
        <f>IF(N($B11)=0,"",$S11/$B11)</f>
        <v/>
      </c>
      <c r="Z11" s="11">
        <f>IF(N($B11)=0,"",$H11/$B11)</f>
        <v/>
      </c>
      <c r="AA11" s="11">
        <f>IF(N($C11)=0,"",$J11/$C11)</f>
        <v/>
      </c>
      <c r="AB11" s="12">
        <f>IF($B11="","",IF($C11-$J11&gt;0,$M11/($C11-$J11),""))</f>
        <v/>
      </c>
      <c r="AC11" s="10">
        <f>IF($B11="","",$O11-$N11-$P11)</f>
        <v/>
      </c>
      <c r="AD11" s="13">
        <f>IF($B11="","",IF(N($U11)&lt;0,"赤字",IF(OR(N($W11)&lt;'設定'!$C$4,N($AA11)&gt;'設定'!$C$5,N($AB11)&gt;'設定'!$C$6),"注意","OK")))</f>
        <v/>
      </c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0">
        <f>IF($B12="","",$B12-$I12)</f>
        <v/>
      </c>
      <c r="R12" s="10">
        <f>IF($B12="","",($C12-($J12-$K12))*$L12)</f>
        <v/>
      </c>
      <c r="S12" s="10">
        <f>IF($B12="","",$D12+$E12+$F12+$G12)</f>
        <v/>
      </c>
      <c r="T12" s="10">
        <f>IF($B12="","",$Q12-$R12-$S12)</f>
        <v/>
      </c>
      <c r="U12" s="10">
        <f>IF($B12="","",$T12-$H12)</f>
        <v/>
      </c>
      <c r="V12" s="10">
        <f>IF($B12="","",IF($C12-$J12&gt;0,$U12/($C12-$J12),""))</f>
        <v/>
      </c>
      <c r="W12" s="11">
        <f>IF(N($Q12)=0,"",$T12/$Q12)</f>
        <v/>
      </c>
      <c r="X12" s="11">
        <f>IF(N($Q12)=0,"",$R12/$Q12)</f>
        <v/>
      </c>
      <c r="Y12" s="11">
        <f>IF(N($B12)=0,"",$S12/$B12)</f>
        <v/>
      </c>
      <c r="Z12" s="11">
        <f>IF(N($B12)=0,"",$H12/$B12)</f>
        <v/>
      </c>
      <c r="AA12" s="11">
        <f>IF(N($C12)=0,"",$J12/$C12)</f>
        <v/>
      </c>
      <c r="AB12" s="12">
        <f>IF($B12="","",IF($C12-$J12&gt;0,$M12/($C12-$J12),""))</f>
        <v/>
      </c>
      <c r="AC12" s="10">
        <f>IF($B12="","",$O12-$N12-$P12)</f>
        <v/>
      </c>
      <c r="AD12" s="13">
        <f>IF($B12="","",IF(N($U12)&lt;0,"赤字",IF(OR(N($W12)&lt;'設定'!$C$4,N($AA12)&gt;'設定'!$C$5,N($AB12)&gt;'設定'!$C$6),"注意","OK")))</f>
        <v/>
      </c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0">
        <f>IF($B13="","",$B13-$I13)</f>
        <v/>
      </c>
      <c r="R13" s="10">
        <f>IF($B13="","",($C13-($J13-$K13))*$L13)</f>
        <v/>
      </c>
      <c r="S13" s="10">
        <f>IF($B13="","",$D13+$E13+$F13+$G13)</f>
        <v/>
      </c>
      <c r="T13" s="10">
        <f>IF($B13="","",$Q13-$R13-$S13)</f>
        <v/>
      </c>
      <c r="U13" s="10">
        <f>IF($B13="","",$T13-$H13)</f>
        <v/>
      </c>
      <c r="V13" s="10">
        <f>IF($B13="","",IF($C13-$J13&gt;0,$U13/($C13-$J13),""))</f>
        <v/>
      </c>
      <c r="W13" s="11">
        <f>IF(N($Q13)=0,"",$T13/$Q13)</f>
        <v/>
      </c>
      <c r="X13" s="11">
        <f>IF(N($Q13)=0,"",$R13/$Q13)</f>
        <v/>
      </c>
      <c r="Y13" s="11">
        <f>IF(N($B13)=0,"",$S13/$B13)</f>
        <v/>
      </c>
      <c r="Z13" s="11">
        <f>IF(N($B13)=0,"",$H13/$B13)</f>
        <v/>
      </c>
      <c r="AA13" s="11">
        <f>IF(N($C13)=0,"",$J13/$C13)</f>
        <v/>
      </c>
      <c r="AB13" s="12">
        <f>IF($B13="","",IF($C13-$J13&gt;0,$M13/($C13-$J13),""))</f>
        <v/>
      </c>
      <c r="AC13" s="10">
        <f>IF($B13="","",$O13-$N13-$P13)</f>
        <v/>
      </c>
      <c r="AD13" s="13">
        <f>IF($B13="","",IF(N($U13)&lt;0,"赤字",IF(OR(N($W13)&lt;'設定'!$C$4,N($AA13)&gt;'設定'!$C$5,N($AB13)&gt;'設定'!$C$6),"注意","OK")))</f>
        <v/>
      </c>
    </row>
    <row r="14">
      <c r="A14" s="8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0">
        <f>IF($B14="","",$B14-$I14)</f>
        <v/>
      </c>
      <c r="R14" s="10">
        <f>IF($B14="","",($C14-($J14-$K14))*$L14)</f>
        <v/>
      </c>
      <c r="S14" s="10">
        <f>IF($B14="","",$D14+$E14+$F14+$G14)</f>
        <v/>
      </c>
      <c r="T14" s="10">
        <f>IF($B14="","",$Q14-$R14-$S14)</f>
        <v/>
      </c>
      <c r="U14" s="10">
        <f>IF($B14="","",$T14-$H14)</f>
        <v/>
      </c>
      <c r="V14" s="10">
        <f>IF($B14="","",IF($C14-$J14&gt;0,$U14/($C14-$J14),""))</f>
        <v/>
      </c>
      <c r="W14" s="11">
        <f>IF(N($Q14)=0,"",$T14/$Q14)</f>
        <v/>
      </c>
      <c r="X14" s="11">
        <f>IF(N($Q14)=0,"",$R14/$Q14)</f>
        <v/>
      </c>
      <c r="Y14" s="11">
        <f>IF(N($B14)=0,"",$S14/$B14)</f>
        <v/>
      </c>
      <c r="Z14" s="11">
        <f>IF(N($B14)=0,"",$H14/$B14)</f>
        <v/>
      </c>
      <c r="AA14" s="11">
        <f>IF(N($C14)=0,"",$J14/$C14)</f>
        <v/>
      </c>
      <c r="AB14" s="12">
        <f>IF($B14="","",IF($C14-$J14&gt;0,$M14/($C14-$J14),""))</f>
        <v/>
      </c>
      <c r="AC14" s="10">
        <f>IF($B14="","",$O14-$N14-$P14)</f>
        <v/>
      </c>
      <c r="AD14" s="13">
        <f>IF($B14="","",IF(N($U14)&lt;0,"赤字",IF(OR(N($W14)&lt;'設定'!$C$4,N($AA14)&gt;'設定'!$C$5,N($AB14)&gt;'設定'!$C$6),"注意","OK")))</f>
        <v/>
      </c>
    </row>
    <row r="15">
      <c r="A15" s="8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0">
        <f>IF($B15="","",$B15-$I15)</f>
        <v/>
      </c>
      <c r="R15" s="10">
        <f>IF($B15="","",($C15-($J15-$K15))*$L15)</f>
        <v/>
      </c>
      <c r="S15" s="10">
        <f>IF($B15="","",$D15+$E15+$F15+$G15)</f>
        <v/>
      </c>
      <c r="T15" s="10">
        <f>IF($B15="","",$Q15-$R15-$S15)</f>
        <v/>
      </c>
      <c r="U15" s="10">
        <f>IF($B15="","",$T15-$H15)</f>
        <v/>
      </c>
      <c r="V15" s="10">
        <f>IF($B15="","",IF($C15-$J15&gt;0,$U15/($C15-$J15),""))</f>
        <v/>
      </c>
      <c r="W15" s="11">
        <f>IF(N($Q15)=0,"",$T15/$Q15)</f>
        <v/>
      </c>
      <c r="X15" s="11">
        <f>IF(N($Q15)=0,"",$R15/$Q15)</f>
        <v/>
      </c>
      <c r="Y15" s="11">
        <f>IF(N($B15)=0,"",$S15/$B15)</f>
        <v/>
      </c>
      <c r="Z15" s="11">
        <f>IF(N($B15)=0,"",$H15/$B15)</f>
        <v/>
      </c>
      <c r="AA15" s="11">
        <f>IF(N($C15)=0,"",$J15/$C15)</f>
        <v/>
      </c>
      <c r="AB15" s="12">
        <f>IF($B15="","",IF($C15-$J15&gt;0,$M15/($C15-$J15),""))</f>
        <v/>
      </c>
      <c r="AC15" s="10">
        <f>IF($B15="","",$O15-$N15-$P15)</f>
        <v/>
      </c>
      <c r="AD15" s="13">
        <f>IF($B15="","",IF(N($U15)&lt;0,"赤字",IF(OR(N($W15)&lt;'設定'!$C$4,N($AA15)&gt;'設定'!$C$5,N($AB15)&gt;'設定'!$C$6),"注意","OK")))</f>
        <v/>
      </c>
    </row>
    <row r="16">
      <c r="A16" s="8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0">
        <f>IF($B16="","",$B16-$I16)</f>
        <v/>
      </c>
      <c r="R16" s="10">
        <f>IF($B16="","",($C16-($J16-$K16))*$L16)</f>
        <v/>
      </c>
      <c r="S16" s="10">
        <f>IF($B16="","",$D16+$E16+$F16+$G16)</f>
        <v/>
      </c>
      <c r="T16" s="10">
        <f>IF($B16="","",$Q16-$R16-$S16)</f>
        <v/>
      </c>
      <c r="U16" s="10">
        <f>IF($B16="","",$T16-$H16)</f>
        <v/>
      </c>
      <c r="V16" s="10">
        <f>IF($B16="","",IF($C16-$J16&gt;0,$U16/($C16-$J16),""))</f>
        <v/>
      </c>
      <c r="W16" s="11">
        <f>IF(N($Q16)=0,"",$T16/$Q16)</f>
        <v/>
      </c>
      <c r="X16" s="11">
        <f>IF(N($Q16)=0,"",$R16/$Q16)</f>
        <v/>
      </c>
      <c r="Y16" s="11">
        <f>IF(N($B16)=0,"",$S16/$B16)</f>
        <v/>
      </c>
      <c r="Z16" s="11">
        <f>IF(N($B16)=0,"",$H16/$B16)</f>
        <v/>
      </c>
      <c r="AA16" s="11">
        <f>IF(N($C16)=0,"",$J16/$C16)</f>
        <v/>
      </c>
      <c r="AB16" s="12">
        <f>IF($B16="","",IF($C16-$J16&gt;0,$M16/($C16-$J16),""))</f>
        <v/>
      </c>
      <c r="AC16" s="10">
        <f>IF($B16="","",$O16-$N16-$P16)</f>
        <v/>
      </c>
      <c r="AD16" s="13">
        <f>IF($B16="","",IF(N($U16)&lt;0,"赤字",IF(OR(N($W16)&lt;'設定'!$C$4,N($AA16)&gt;'設定'!$C$5,N($AB16)&gt;'設定'!$C$6),"注意","OK")))</f>
        <v/>
      </c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0">
        <f>IF($B17="","",$B17-$I17)</f>
        <v/>
      </c>
      <c r="R17" s="10">
        <f>IF($B17="","",($C17-($J17-$K17))*$L17)</f>
        <v/>
      </c>
      <c r="S17" s="10">
        <f>IF($B17="","",$D17+$E17+$F17+$G17)</f>
        <v/>
      </c>
      <c r="T17" s="10">
        <f>IF($B17="","",$Q17-$R17-$S17)</f>
        <v/>
      </c>
      <c r="U17" s="10">
        <f>IF($B17="","",$T17-$H17)</f>
        <v/>
      </c>
      <c r="V17" s="10">
        <f>IF($B17="","",IF($C17-$J17&gt;0,$U17/($C17-$J17),""))</f>
        <v/>
      </c>
      <c r="W17" s="11">
        <f>IF(N($Q17)=0,"",$T17/$Q17)</f>
        <v/>
      </c>
      <c r="X17" s="11">
        <f>IF(N($Q17)=0,"",$R17/$Q17)</f>
        <v/>
      </c>
      <c r="Y17" s="11">
        <f>IF(N($B17)=0,"",$S17/$B17)</f>
        <v/>
      </c>
      <c r="Z17" s="11">
        <f>IF(N($B17)=0,"",$H17/$B17)</f>
        <v/>
      </c>
      <c r="AA17" s="11">
        <f>IF(N($C17)=0,"",$J17/$C17)</f>
        <v/>
      </c>
      <c r="AB17" s="12">
        <f>IF($B17="","",IF($C17-$J17&gt;0,$M17/($C17-$J17),""))</f>
        <v/>
      </c>
      <c r="AC17" s="10">
        <f>IF($B17="","",$O17-$N17-$P17)</f>
        <v/>
      </c>
      <c r="AD17" s="13">
        <f>IF($B17="","",IF(N($U17)&lt;0,"赤字",IF(OR(N($W17)&lt;'設定'!$C$4,N($AA17)&gt;'設定'!$C$5,N($AB17)&gt;'設定'!$C$6),"注意","OK")))</f>
        <v/>
      </c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0">
        <f>IF($B18="","",$B18-$I18)</f>
        <v/>
      </c>
      <c r="R18" s="10">
        <f>IF($B18="","",($C18-($J18-$K18))*$L18)</f>
        <v/>
      </c>
      <c r="S18" s="10">
        <f>IF($B18="","",$D18+$E18+$F18+$G18)</f>
        <v/>
      </c>
      <c r="T18" s="10">
        <f>IF($B18="","",$Q18-$R18-$S18)</f>
        <v/>
      </c>
      <c r="U18" s="10">
        <f>IF($B18="","",$T18-$H18)</f>
        <v/>
      </c>
      <c r="V18" s="10">
        <f>IF($B18="","",IF($C18-$J18&gt;0,$U18/($C18-$J18),""))</f>
        <v/>
      </c>
      <c r="W18" s="11">
        <f>IF(N($Q18)=0,"",$T18/$Q18)</f>
        <v/>
      </c>
      <c r="X18" s="11">
        <f>IF(N($Q18)=0,"",$R18/$Q18)</f>
        <v/>
      </c>
      <c r="Y18" s="11">
        <f>IF(N($B18)=0,"",$S18/$B18)</f>
        <v/>
      </c>
      <c r="Z18" s="11">
        <f>IF(N($B18)=0,"",$H18/$B18)</f>
        <v/>
      </c>
      <c r="AA18" s="11">
        <f>IF(N($C18)=0,"",$J18/$C18)</f>
        <v/>
      </c>
      <c r="AB18" s="12">
        <f>IF($B18="","",IF($C18-$J18&gt;0,$M18/($C18-$J18),""))</f>
        <v/>
      </c>
      <c r="AC18" s="10">
        <f>IF($B18="","",$O18-$N18-$P18)</f>
        <v/>
      </c>
      <c r="AD18" s="13">
        <f>IF($B18="","",IF(N($U18)&lt;0,"赤字",IF(OR(N($W18)&lt;'設定'!$C$4,N($AA18)&gt;'設定'!$C$5,N($AB18)&gt;'設定'!$C$6),"注意","OK")))</f>
        <v/>
      </c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0">
        <f>IF($B19="","",$B19-$I19)</f>
        <v/>
      </c>
      <c r="R19" s="10">
        <f>IF($B19="","",($C19-($J19-$K19))*$L19)</f>
        <v/>
      </c>
      <c r="S19" s="10">
        <f>IF($B19="","",$D19+$E19+$F19+$G19)</f>
        <v/>
      </c>
      <c r="T19" s="10">
        <f>IF($B19="","",$Q19-$R19-$S19)</f>
        <v/>
      </c>
      <c r="U19" s="10">
        <f>IF($B19="","",$T19-$H19)</f>
        <v/>
      </c>
      <c r="V19" s="10">
        <f>IF($B19="","",IF($C19-$J19&gt;0,$U19/($C19-$J19),""))</f>
        <v/>
      </c>
      <c r="W19" s="11">
        <f>IF(N($Q19)=0,"",$T19/$Q19)</f>
        <v/>
      </c>
      <c r="X19" s="11">
        <f>IF(N($Q19)=0,"",$R19/$Q19)</f>
        <v/>
      </c>
      <c r="Y19" s="11">
        <f>IF(N($B19)=0,"",$S19/$B19)</f>
        <v/>
      </c>
      <c r="Z19" s="11">
        <f>IF(N($B19)=0,"",$H19/$B19)</f>
        <v/>
      </c>
      <c r="AA19" s="11">
        <f>IF(N($C19)=0,"",$J19/$C19)</f>
        <v/>
      </c>
      <c r="AB19" s="12">
        <f>IF($B19="","",IF($C19-$J19&gt;0,$M19/($C19-$J19),""))</f>
        <v/>
      </c>
      <c r="AC19" s="10">
        <f>IF($B19="","",$O19-$N19-$P19)</f>
        <v/>
      </c>
      <c r="AD19" s="13">
        <f>IF($B19="","",IF(N($U19)&lt;0,"赤字",IF(OR(N($W19)&lt;'設定'!$C$4,N($AA19)&gt;'設定'!$C$5,N($AB19)&gt;'設定'!$C$6),"注意","OK")))</f>
        <v/>
      </c>
    </row>
    <row r="20">
      <c r="A20" s="8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0">
        <f>IF($B20="","",$B20-$I20)</f>
        <v/>
      </c>
      <c r="R20" s="10">
        <f>IF($B20="","",($C20-($J20-$K20))*$L20)</f>
        <v/>
      </c>
      <c r="S20" s="10">
        <f>IF($B20="","",$D20+$E20+$F20+$G20)</f>
        <v/>
      </c>
      <c r="T20" s="10">
        <f>IF($B20="","",$Q20-$R20-$S20)</f>
        <v/>
      </c>
      <c r="U20" s="10">
        <f>IF($B20="","",$T20-$H20)</f>
        <v/>
      </c>
      <c r="V20" s="10">
        <f>IF($B20="","",IF($C20-$J20&gt;0,$U20/($C20-$J20),""))</f>
        <v/>
      </c>
      <c r="W20" s="11">
        <f>IF(N($Q20)=0,"",$T20/$Q20)</f>
        <v/>
      </c>
      <c r="X20" s="11">
        <f>IF(N($Q20)=0,"",$R20/$Q20)</f>
        <v/>
      </c>
      <c r="Y20" s="11">
        <f>IF(N($B20)=0,"",$S20/$B20)</f>
        <v/>
      </c>
      <c r="Z20" s="11">
        <f>IF(N($B20)=0,"",$H20/$B20)</f>
        <v/>
      </c>
      <c r="AA20" s="11">
        <f>IF(N($C20)=0,"",$J20/$C20)</f>
        <v/>
      </c>
      <c r="AB20" s="12">
        <f>IF($B20="","",IF($C20-$J20&gt;0,$M20/($C20-$J20),""))</f>
        <v/>
      </c>
      <c r="AC20" s="10">
        <f>IF($B20="","",$O20-$N20-$P20)</f>
        <v/>
      </c>
      <c r="AD20" s="13">
        <f>IF($B20="","",IF(N($U20)&lt;0,"赤字",IF(OR(N($W20)&lt;'設定'!$C$4,N($AA20)&gt;'設定'!$C$5,N($AB20)&gt;'設定'!$C$6),"注意","OK")))</f>
        <v/>
      </c>
    </row>
    <row r="21">
      <c r="A21" s="8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0">
        <f>IF($B21="","",$B21-$I21)</f>
        <v/>
      </c>
      <c r="R21" s="10">
        <f>IF($B21="","",($C21-($J21-$K21))*$L21)</f>
        <v/>
      </c>
      <c r="S21" s="10">
        <f>IF($B21="","",$D21+$E21+$F21+$G21)</f>
        <v/>
      </c>
      <c r="T21" s="10">
        <f>IF($B21="","",$Q21-$R21-$S21)</f>
        <v/>
      </c>
      <c r="U21" s="10">
        <f>IF($B21="","",$T21-$H21)</f>
        <v/>
      </c>
      <c r="V21" s="10">
        <f>IF($B21="","",IF($C21-$J21&gt;0,$U21/($C21-$J21),""))</f>
        <v/>
      </c>
      <c r="W21" s="11">
        <f>IF(N($Q21)=0,"",$T21/$Q21)</f>
        <v/>
      </c>
      <c r="X21" s="11">
        <f>IF(N($Q21)=0,"",$R21/$Q21)</f>
        <v/>
      </c>
      <c r="Y21" s="11">
        <f>IF(N($B21)=0,"",$S21/$B21)</f>
        <v/>
      </c>
      <c r="Z21" s="11">
        <f>IF(N($B21)=0,"",$H21/$B21)</f>
        <v/>
      </c>
      <c r="AA21" s="11">
        <f>IF(N($C21)=0,"",$J21/$C21)</f>
        <v/>
      </c>
      <c r="AB21" s="12">
        <f>IF($B21="","",IF($C21-$J21&gt;0,$M21/($C21-$J21),""))</f>
        <v/>
      </c>
      <c r="AC21" s="10">
        <f>IF($B21="","",$O21-$N21-$P21)</f>
        <v/>
      </c>
      <c r="AD21" s="13">
        <f>IF($B21="","",IF(N($U21)&lt;0,"赤字",IF(OR(N($W21)&lt;'設定'!$C$4,N($AA21)&gt;'設定'!$C$5,N($AB21)&gt;'設定'!$C$6),"注意","OK")))</f>
        <v/>
      </c>
    </row>
    <row r="22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0">
        <f>IF($B22="","",$B22-$I22)</f>
        <v/>
      </c>
      <c r="R22" s="10">
        <f>IF($B22="","",($C22-($J22-$K22))*$L22)</f>
        <v/>
      </c>
      <c r="S22" s="10">
        <f>IF($B22="","",$D22+$E22+$F22+$G22)</f>
        <v/>
      </c>
      <c r="T22" s="10">
        <f>IF($B22="","",$Q22-$R22-$S22)</f>
        <v/>
      </c>
      <c r="U22" s="10">
        <f>IF($B22="","",$T22-$H22)</f>
        <v/>
      </c>
      <c r="V22" s="10">
        <f>IF($B22="","",IF($C22-$J22&gt;0,$U22/($C22-$J22),""))</f>
        <v/>
      </c>
      <c r="W22" s="11">
        <f>IF(N($Q22)=0,"",$T22/$Q22)</f>
        <v/>
      </c>
      <c r="X22" s="11">
        <f>IF(N($Q22)=0,"",$R22/$Q22)</f>
        <v/>
      </c>
      <c r="Y22" s="11">
        <f>IF(N($B22)=0,"",$S22/$B22)</f>
        <v/>
      </c>
      <c r="Z22" s="11">
        <f>IF(N($B22)=0,"",$H22/$B22)</f>
        <v/>
      </c>
      <c r="AA22" s="11">
        <f>IF(N($C22)=0,"",$J22/$C22)</f>
        <v/>
      </c>
      <c r="AB22" s="12">
        <f>IF($B22="","",IF($C22-$J22&gt;0,$M22/($C22-$J22),""))</f>
        <v/>
      </c>
      <c r="AC22" s="10">
        <f>IF($B22="","",$O22-$N22-$P22)</f>
        <v/>
      </c>
      <c r="AD22" s="13">
        <f>IF($B22="","",IF(N($U22)&lt;0,"赤字",IF(OR(N($W22)&lt;'設定'!$C$4,N($AA22)&gt;'設定'!$C$5,N($AB22)&gt;'設定'!$C$6),"注意","OK")))</f>
        <v/>
      </c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0">
        <f>IF($B23="","",$B23-$I23)</f>
        <v/>
      </c>
      <c r="R23" s="10">
        <f>IF($B23="","",($C23-($J23-$K23))*$L23)</f>
        <v/>
      </c>
      <c r="S23" s="10">
        <f>IF($B23="","",$D23+$E23+$F23+$G23)</f>
        <v/>
      </c>
      <c r="T23" s="10">
        <f>IF($B23="","",$Q23-$R23-$S23)</f>
        <v/>
      </c>
      <c r="U23" s="10">
        <f>IF($B23="","",$T23-$H23)</f>
        <v/>
      </c>
      <c r="V23" s="10">
        <f>IF($B23="","",IF($C23-$J23&gt;0,$U23/($C23-$J23),""))</f>
        <v/>
      </c>
      <c r="W23" s="11">
        <f>IF(N($Q23)=0,"",$T23/$Q23)</f>
        <v/>
      </c>
      <c r="X23" s="11">
        <f>IF(N($Q23)=0,"",$R23/$Q23)</f>
        <v/>
      </c>
      <c r="Y23" s="11">
        <f>IF(N($B23)=0,"",$S23/$B23)</f>
        <v/>
      </c>
      <c r="Z23" s="11">
        <f>IF(N($B23)=0,"",$H23/$B23)</f>
        <v/>
      </c>
      <c r="AA23" s="11">
        <f>IF(N($C23)=0,"",$J23/$C23)</f>
        <v/>
      </c>
      <c r="AB23" s="12">
        <f>IF($B23="","",IF($C23-$J23&gt;0,$M23/($C23-$J23),""))</f>
        <v/>
      </c>
      <c r="AC23" s="10">
        <f>IF($B23="","",$O23-$N23-$P23)</f>
        <v/>
      </c>
      <c r="AD23" s="13">
        <f>IF($B23="","",IF(N($U23)&lt;0,"赤字",IF(OR(N($W23)&lt;'設定'!$C$4,N($AA23)&gt;'設定'!$C$5,N($AB23)&gt;'設定'!$C$6),"注意","OK")))</f>
        <v/>
      </c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0">
        <f>IF($B24="","",$B24-$I24)</f>
        <v/>
      </c>
      <c r="R24" s="10">
        <f>IF($B24="","",($C24-($J24-$K24))*$L24)</f>
        <v/>
      </c>
      <c r="S24" s="10">
        <f>IF($B24="","",$D24+$E24+$F24+$G24)</f>
        <v/>
      </c>
      <c r="T24" s="10">
        <f>IF($B24="","",$Q24-$R24-$S24)</f>
        <v/>
      </c>
      <c r="U24" s="10">
        <f>IF($B24="","",$T24-$H24)</f>
        <v/>
      </c>
      <c r="V24" s="10">
        <f>IF($B24="","",IF($C24-$J24&gt;0,$U24/($C24-$J24),""))</f>
        <v/>
      </c>
      <c r="W24" s="11">
        <f>IF(N($Q24)=0,"",$T24/$Q24)</f>
        <v/>
      </c>
      <c r="X24" s="11">
        <f>IF(N($Q24)=0,"",$R24/$Q24)</f>
        <v/>
      </c>
      <c r="Y24" s="11">
        <f>IF(N($B24)=0,"",$S24/$B24)</f>
        <v/>
      </c>
      <c r="Z24" s="11">
        <f>IF(N($B24)=0,"",$H24/$B24)</f>
        <v/>
      </c>
      <c r="AA24" s="11">
        <f>IF(N($C24)=0,"",$J24/$C24)</f>
        <v/>
      </c>
      <c r="AB24" s="12">
        <f>IF($B24="","",IF($C24-$J24&gt;0,$M24/($C24-$J24),""))</f>
        <v/>
      </c>
      <c r="AC24" s="10">
        <f>IF($B24="","",$O24-$N24-$P24)</f>
        <v/>
      </c>
      <c r="AD24" s="13">
        <f>IF($B24="","",IF(N($U24)&lt;0,"赤字",IF(OR(N($W24)&lt;'設定'!$C$4,N($AA24)&gt;'設定'!$C$5,N($AB24)&gt;'設定'!$C$6),"注意","OK")))</f>
        <v/>
      </c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0">
        <f>IF($B25="","",$B25-$I25)</f>
        <v/>
      </c>
      <c r="R25" s="10">
        <f>IF($B25="","",($C25-($J25-$K25))*$L25)</f>
        <v/>
      </c>
      <c r="S25" s="10">
        <f>IF($B25="","",$D25+$E25+$F25+$G25)</f>
        <v/>
      </c>
      <c r="T25" s="10">
        <f>IF($B25="","",$Q25-$R25-$S25)</f>
        <v/>
      </c>
      <c r="U25" s="10">
        <f>IF($B25="","",$T25-$H25)</f>
        <v/>
      </c>
      <c r="V25" s="10">
        <f>IF($B25="","",IF($C25-$J25&gt;0,$U25/($C25-$J25),""))</f>
        <v/>
      </c>
      <c r="W25" s="11">
        <f>IF(N($Q25)=0,"",$T25/$Q25)</f>
        <v/>
      </c>
      <c r="X25" s="11">
        <f>IF(N($Q25)=0,"",$R25/$Q25)</f>
        <v/>
      </c>
      <c r="Y25" s="11">
        <f>IF(N($B25)=0,"",$S25/$B25)</f>
        <v/>
      </c>
      <c r="Z25" s="11">
        <f>IF(N($B25)=0,"",$H25/$B25)</f>
        <v/>
      </c>
      <c r="AA25" s="11">
        <f>IF(N($C25)=0,"",$J25/$C25)</f>
        <v/>
      </c>
      <c r="AB25" s="12">
        <f>IF($B25="","",IF($C25-$J25&gt;0,$M25/($C25-$J25),""))</f>
        <v/>
      </c>
      <c r="AC25" s="10">
        <f>IF($B25="","",$O25-$N25-$P25)</f>
        <v/>
      </c>
      <c r="AD25" s="13">
        <f>IF($B25="","",IF(N($U25)&lt;0,"赤字",IF(OR(N($W25)&lt;'設定'!$C$4,N($AA25)&gt;'設定'!$C$5,N($AB25)&gt;'設定'!$C$6),"注意","OK")))</f>
        <v/>
      </c>
    </row>
    <row r="26">
      <c r="A26" s="8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10">
        <f>IF($B26="","",$B26-$I26)</f>
        <v/>
      </c>
      <c r="R26" s="10">
        <f>IF($B26="","",($C26-($J26-$K26))*$L26)</f>
        <v/>
      </c>
      <c r="S26" s="10">
        <f>IF($B26="","",$D26+$E26+$F26+$G26)</f>
        <v/>
      </c>
      <c r="T26" s="10">
        <f>IF($B26="","",$Q26-$R26-$S26)</f>
        <v/>
      </c>
      <c r="U26" s="10">
        <f>IF($B26="","",$T26-$H26)</f>
        <v/>
      </c>
      <c r="V26" s="10">
        <f>IF($B26="","",IF($C26-$J26&gt;0,$U26/($C26-$J26),""))</f>
        <v/>
      </c>
      <c r="W26" s="11">
        <f>IF(N($Q26)=0,"",$T26/$Q26)</f>
        <v/>
      </c>
      <c r="X26" s="11">
        <f>IF(N($Q26)=0,"",$R26/$Q26)</f>
        <v/>
      </c>
      <c r="Y26" s="11">
        <f>IF(N($B26)=0,"",$S26/$B26)</f>
        <v/>
      </c>
      <c r="Z26" s="11">
        <f>IF(N($B26)=0,"",$H26/$B26)</f>
        <v/>
      </c>
      <c r="AA26" s="11">
        <f>IF(N($C26)=0,"",$J26/$C26)</f>
        <v/>
      </c>
      <c r="AB26" s="12">
        <f>IF($B26="","",IF($C26-$J26&gt;0,$M26/($C26-$J26),""))</f>
        <v/>
      </c>
      <c r="AC26" s="10">
        <f>IF($B26="","",$O26-$N26-$P26)</f>
        <v/>
      </c>
      <c r="AD26" s="13">
        <f>IF($B26="","",IF(N($U26)&lt;0,"赤字",IF(OR(N($W26)&lt;'設定'!$C$4,N($AA26)&gt;'設定'!$C$5,N($AB26)&gt;'設定'!$C$6),"注意","OK")))</f>
        <v/>
      </c>
    </row>
    <row r="27">
      <c r="A27" s="8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0">
        <f>IF($B27="","",$B27-$I27)</f>
        <v/>
      </c>
      <c r="R27" s="10">
        <f>IF($B27="","",($C27-($J27-$K27))*$L27)</f>
        <v/>
      </c>
      <c r="S27" s="10">
        <f>IF($B27="","",$D27+$E27+$F27+$G27)</f>
        <v/>
      </c>
      <c r="T27" s="10">
        <f>IF($B27="","",$Q27-$R27-$S27)</f>
        <v/>
      </c>
      <c r="U27" s="10">
        <f>IF($B27="","",$T27-$H27)</f>
        <v/>
      </c>
      <c r="V27" s="10">
        <f>IF($B27="","",IF($C27-$J27&gt;0,$U27/($C27-$J27),""))</f>
        <v/>
      </c>
      <c r="W27" s="11">
        <f>IF(N($Q27)=0,"",$T27/$Q27)</f>
        <v/>
      </c>
      <c r="X27" s="11">
        <f>IF(N($Q27)=0,"",$R27/$Q27)</f>
        <v/>
      </c>
      <c r="Y27" s="11">
        <f>IF(N($B27)=0,"",$S27/$B27)</f>
        <v/>
      </c>
      <c r="Z27" s="11">
        <f>IF(N($B27)=0,"",$H27/$B27)</f>
        <v/>
      </c>
      <c r="AA27" s="11">
        <f>IF(N($C27)=0,"",$J27/$C27)</f>
        <v/>
      </c>
      <c r="AB27" s="12">
        <f>IF($B27="","",IF($C27-$J27&gt;0,$M27/($C27-$J27),""))</f>
        <v/>
      </c>
      <c r="AC27" s="10">
        <f>IF($B27="","",$O27-$N27-$P27)</f>
        <v/>
      </c>
      <c r="AD27" s="13">
        <f>IF($B27="","",IF(N($U27)&lt;0,"赤字",IF(OR(N($W27)&lt;'設定'!$C$4,N($AA27)&gt;'設定'!$C$5,N($AB27)&gt;'設定'!$C$6),"注意","OK")))</f>
        <v/>
      </c>
    </row>
    <row r="28">
      <c r="A28" s="8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0">
        <f>IF($B28="","",$B28-$I28)</f>
        <v/>
      </c>
      <c r="R28" s="10">
        <f>IF($B28="","",($C28-($J28-$K28))*$L28)</f>
        <v/>
      </c>
      <c r="S28" s="10">
        <f>IF($B28="","",$D28+$E28+$F28+$G28)</f>
        <v/>
      </c>
      <c r="T28" s="10">
        <f>IF($B28="","",$Q28-$R28-$S28)</f>
        <v/>
      </c>
      <c r="U28" s="10">
        <f>IF($B28="","",$T28-$H28)</f>
        <v/>
      </c>
      <c r="V28" s="10">
        <f>IF($B28="","",IF($C28-$J28&gt;0,$U28/($C28-$J28),""))</f>
        <v/>
      </c>
      <c r="W28" s="11">
        <f>IF(N($Q28)=0,"",$T28/$Q28)</f>
        <v/>
      </c>
      <c r="X28" s="11">
        <f>IF(N($Q28)=0,"",$R28/$Q28)</f>
        <v/>
      </c>
      <c r="Y28" s="11">
        <f>IF(N($B28)=0,"",$S28/$B28)</f>
        <v/>
      </c>
      <c r="Z28" s="11">
        <f>IF(N($B28)=0,"",$H28/$B28)</f>
        <v/>
      </c>
      <c r="AA28" s="11">
        <f>IF(N($C28)=0,"",$J28/$C28)</f>
        <v/>
      </c>
      <c r="AB28" s="12">
        <f>IF($B28="","",IF($C28-$J28&gt;0,$M28/($C28-$J28),""))</f>
        <v/>
      </c>
      <c r="AC28" s="10">
        <f>IF($B28="","",$O28-$N28-$P28)</f>
        <v/>
      </c>
      <c r="AD28" s="13">
        <f>IF($B28="","",IF(N($U28)&lt;0,"赤字",IF(OR(N($W28)&lt;'設定'!$C$4,N($AA28)&gt;'設定'!$C$5,N($AB28)&gt;'設定'!$C$6),"注意","OK")))</f>
        <v/>
      </c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0">
        <f>IF($B29="","",$B29-$I29)</f>
        <v/>
      </c>
      <c r="R29" s="10">
        <f>IF($B29="","",($C29-($J29-$K29))*$L29)</f>
        <v/>
      </c>
      <c r="S29" s="10">
        <f>IF($B29="","",$D29+$E29+$F29+$G29)</f>
        <v/>
      </c>
      <c r="T29" s="10">
        <f>IF($B29="","",$Q29-$R29-$S29)</f>
        <v/>
      </c>
      <c r="U29" s="10">
        <f>IF($B29="","",$T29-$H29)</f>
        <v/>
      </c>
      <c r="V29" s="10">
        <f>IF($B29="","",IF($C29-$J29&gt;0,$U29/($C29-$J29),""))</f>
        <v/>
      </c>
      <c r="W29" s="11">
        <f>IF(N($Q29)=0,"",$T29/$Q29)</f>
        <v/>
      </c>
      <c r="X29" s="11">
        <f>IF(N($Q29)=0,"",$R29/$Q29)</f>
        <v/>
      </c>
      <c r="Y29" s="11">
        <f>IF(N($B29)=0,"",$S29/$B29)</f>
        <v/>
      </c>
      <c r="Z29" s="11">
        <f>IF(N($B29)=0,"",$H29/$B29)</f>
        <v/>
      </c>
      <c r="AA29" s="11">
        <f>IF(N($C29)=0,"",$J29/$C29)</f>
        <v/>
      </c>
      <c r="AB29" s="12">
        <f>IF($B29="","",IF($C29-$J29&gt;0,$M29/($C29-$J29),""))</f>
        <v/>
      </c>
      <c r="AC29" s="10">
        <f>IF($B29="","",$O29-$N29-$P29)</f>
        <v/>
      </c>
      <c r="AD29" s="13">
        <f>IF($B29="","",IF(N($U29)&lt;0,"赤字",IF(OR(N($W29)&lt;'設定'!$C$4,N($AA29)&gt;'設定'!$C$5,N($AB29)&gt;'設定'!$C$6),"注意","OK")))</f>
        <v/>
      </c>
    </row>
  </sheetData>
  <conditionalFormatting sqref="AD6:AD29">
    <cfRule type="expression" priority="1" dxfId="0">
      <formula>$AD6="赤字"</formula>
    </cfRule>
    <cfRule type="expression" priority="2" dxfId="1">
      <formula>$AD6="注意"</formula>
    </cfRule>
    <cfRule type="expression" priority="3" dxfId="2">
      <formula>$AD6="OK"</formula>
    </cfRule>
  </conditionalFormatting>
  <conditionalFormatting sqref="V6:V29">
    <cfRule type="expression" priority="4" dxfId="0">
      <formula>AND(ISNUMBER($V6),$V6&lt;0)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売上はどこに消えたか（月次シートの全期間）</t>
        </is>
      </c>
    </row>
    <row r="3">
      <c r="A3" s="3" t="inlineStr">
        <is>
          <t>期間の合計</t>
        </is>
      </c>
    </row>
    <row r="4">
      <c r="B4" s="3" t="inlineStr">
        <is>
          <t>売上（税込）</t>
        </is>
      </c>
      <c r="C4" s="10">
        <f>SUM('月次'!$B$6:$B$29)</f>
        <v/>
      </c>
    </row>
    <row r="5">
      <c r="B5" s="3" t="inlineStr">
        <is>
          <t>販売個数</t>
        </is>
      </c>
      <c r="C5" s="10">
        <f>SUM('月次'!$C$6:$C$29)</f>
        <v/>
      </c>
    </row>
    <row r="6">
      <c r="B6" s="3" t="inlineStr">
        <is>
          <t>返品個数</t>
        </is>
      </c>
      <c r="C6" s="10">
        <f>SUM('月次'!$J$6:$J$29)</f>
        <v/>
      </c>
    </row>
    <row r="7">
      <c r="B7" s="3" t="inlineStr">
        <is>
          <t>実質の販売個数</t>
        </is>
      </c>
      <c r="C7" s="10">
        <f>C5-C6</f>
        <v/>
      </c>
    </row>
    <row r="8">
      <c r="B8" s="3" t="inlineStr">
        <is>
          <t>利益</t>
        </is>
      </c>
      <c r="C8" s="10">
        <f>SUM('月次'!$U$6:$U$29)</f>
        <v/>
      </c>
    </row>
    <row r="9">
      <c r="B9" s="3" t="inlineStr">
        <is>
          <t>1個あたり利益</t>
        </is>
      </c>
      <c r="C9" s="10">
        <f>IF(C7&gt;0,C8/C7,0)</f>
        <v/>
      </c>
    </row>
    <row r="10">
      <c r="B10" s="3" t="inlineStr">
        <is>
          <t>広告前利益</t>
        </is>
      </c>
      <c r="C10" s="10">
        <f>SUM('月次'!$T$6:$T$29)</f>
        <v/>
      </c>
    </row>
    <row r="11">
      <c r="B11" s="3" t="inlineStr">
        <is>
          <t>広告前利益率</t>
        </is>
      </c>
      <c r="C11" s="11">
        <f>IFERROR(C10/SUM('月次'!$Q$6:$Q$29),0)</f>
        <v/>
      </c>
    </row>
    <row r="12">
      <c r="B12" s="3" t="inlineStr">
        <is>
          <t>現金の増減</t>
        </is>
      </c>
      <c r="C12" s="10">
        <f>SUM('月次'!$AC$6:$AC$29)</f>
        <v/>
      </c>
    </row>
    <row r="15">
      <c r="A15" s="3" t="inlineStr">
        <is>
          <t>売上から出ていったお金（売上に対する割合）</t>
        </is>
      </c>
    </row>
    <row r="16">
      <c r="B16" s="7" t="inlineStr">
        <is>
          <t>項目</t>
        </is>
      </c>
      <c r="C16" s="7" t="inlineStr">
        <is>
          <t>金額</t>
        </is>
      </c>
      <c r="D16" s="7" t="inlineStr">
        <is>
          <t>売上比</t>
        </is>
      </c>
      <c r="E16" s="7" t="inlineStr">
        <is>
          <t>1個あたり</t>
        </is>
      </c>
      <c r="F16" s="7" t="inlineStr">
        <is>
          <t>順位</t>
        </is>
      </c>
    </row>
    <row r="17">
      <c r="B17" s="13" t="inlineStr">
        <is>
          <t>商品原価</t>
        </is>
      </c>
      <c r="C17" s="10">
        <f>SUM('月次'!$R$6:$R$29)</f>
        <v/>
      </c>
      <c r="D17" s="11">
        <f>IF($C$4&gt;0,C17/$C$4,0)</f>
        <v/>
      </c>
      <c r="E17" s="10">
        <f>IF($C$7&gt;0,C17/$C$7,0)</f>
        <v/>
      </c>
      <c r="F17" s="14">
        <f>RANK(C17,$C$17:$C$23)</f>
        <v/>
      </c>
    </row>
    <row r="18">
      <c r="B18" s="13" t="inlineStr">
        <is>
          <t>販売手数料</t>
        </is>
      </c>
      <c r="C18" s="10">
        <f>SUM('月次'!$D$6:$D$29)</f>
        <v/>
      </c>
      <c r="D18" s="11">
        <f>IF($C$4&gt;0,C18/$C$4,0)</f>
        <v/>
      </c>
      <c r="E18" s="10">
        <f>IF($C$7&gt;0,C18/$C$7,0)</f>
        <v/>
      </c>
      <c r="F18" s="14">
        <f>RANK(C18,$C$17:$C$23)</f>
        <v/>
      </c>
    </row>
    <row r="19">
      <c r="B19" s="13" t="inlineStr">
        <is>
          <t>FBA配送手数料</t>
        </is>
      </c>
      <c r="C19" s="10">
        <f>SUM('月次'!$E$6:$E$29)</f>
        <v/>
      </c>
      <c r="D19" s="11">
        <f>IF($C$4&gt;0,C19/$C$4,0)</f>
        <v/>
      </c>
      <c r="E19" s="10">
        <f>IF($C$7&gt;0,C19/$C$7,0)</f>
        <v/>
      </c>
      <c r="F19" s="14">
        <f>RANK(C19,$C$17:$C$23)</f>
        <v/>
      </c>
    </row>
    <row r="20">
      <c r="B20" s="13" t="inlineStr">
        <is>
          <t>在庫保管手数料</t>
        </is>
      </c>
      <c r="C20" s="10">
        <f>SUM('月次'!$F$6:$F$29)</f>
        <v/>
      </c>
      <c r="D20" s="11">
        <f>IF($C$4&gt;0,C20/$C$4,0)</f>
        <v/>
      </c>
      <c r="E20" s="10">
        <f>IF($C$7&gt;0,C20/$C$7,0)</f>
        <v/>
      </c>
      <c r="F20" s="14">
        <f>RANK(C20,$C$17:$C$23)</f>
        <v/>
      </c>
    </row>
    <row r="21">
      <c r="B21" s="13" t="inlineStr">
        <is>
          <t>その他のAmazon費用</t>
        </is>
      </c>
      <c r="C21" s="10">
        <f>SUM('月次'!$G$6:$G$29)</f>
        <v/>
      </c>
      <c r="D21" s="11">
        <f>IF($C$4&gt;0,C21/$C$4,0)</f>
        <v/>
      </c>
      <c r="E21" s="10">
        <f>IF($C$7&gt;0,C21/$C$7,0)</f>
        <v/>
      </c>
      <c r="F21" s="14">
        <f>RANK(C21,$C$17:$C$23)</f>
        <v/>
      </c>
    </row>
    <row r="22">
      <c r="B22" s="13" t="inlineStr">
        <is>
          <t>広告費</t>
        </is>
      </c>
      <c r="C22" s="10">
        <f>SUM('月次'!$H$6:$H$29)</f>
        <v/>
      </c>
      <c r="D22" s="11">
        <f>IF($C$4&gt;0,C22/$C$4,0)</f>
        <v/>
      </c>
      <c r="E22" s="10">
        <f>IF($C$7&gt;0,C22/$C$7,0)</f>
        <v/>
      </c>
      <c r="F22" s="14">
        <f>RANK(C22,$C$17:$C$23)</f>
        <v/>
      </c>
    </row>
    <row r="23">
      <c r="B23" s="13" t="inlineStr">
        <is>
          <t>返金</t>
        </is>
      </c>
      <c r="C23" s="10">
        <f>SUM('月次'!$I$6:$I$29)</f>
        <v/>
      </c>
      <c r="D23" s="11">
        <f>IF($C$4&gt;0,C23/$C$4,0)</f>
        <v/>
      </c>
      <c r="E23" s="10">
        <f>IF($C$7&gt;0,C23/$C$7,0)</f>
        <v/>
      </c>
      <c r="F23" s="14">
        <f>RANK(C23,$C$17:$C$23)</f>
        <v/>
      </c>
    </row>
    <row r="24">
      <c r="B24" s="3" t="inlineStr">
        <is>
          <t>残った利益</t>
        </is>
      </c>
      <c r="C24" s="15">
        <f>C8</f>
        <v/>
      </c>
      <c r="D24" s="16">
        <f>IF($C$4&gt;0,C8/$C$4,0)</f>
        <v/>
      </c>
      <c r="E24" s="15">
        <f>C9</f>
        <v/>
      </c>
    </row>
    <row r="26">
      <c r="B26" s="2" t="inlineStr">
        <is>
          <t>順位1〜2の項目から手を付ける。広告は最後（広告前の利益が薄いまま広告を止めても、売上が落ちるだけで赤字は残りやすい）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改善シミュレーション（1個あたり。内訳シートの期間平均が基準）</t>
        </is>
      </c>
    </row>
    <row r="2">
      <c r="A2" s="2" t="inlineStr">
        <is>
          <t>販売個数は変わらないものとして計算します。値上げで販売個数が減る影響は入っていません。</t>
        </is>
      </c>
    </row>
    <row r="4">
      <c r="B4" s="3" t="inlineStr">
        <is>
          <t>変える条件</t>
        </is>
      </c>
    </row>
    <row r="5">
      <c r="B5" s="3" t="inlineStr">
        <is>
          <t>販売価格</t>
        </is>
      </c>
      <c r="C5" s="17" t="n">
        <v>0</v>
      </c>
      <c r="D5" s="2" t="inlineStr">
        <is>
          <t>＋なら値上げ。販売手数料・返金も同じ割合で変わる</t>
        </is>
      </c>
    </row>
    <row r="6">
      <c r="B6" s="3" t="inlineStr">
        <is>
          <t>着地原価</t>
        </is>
      </c>
      <c r="C6" s="17" t="n">
        <v>-0.05</v>
      </c>
      <c r="D6" s="2" t="inlineStr">
        <is>
          <t>工場との交渉・発注ロット・輸送の見直し</t>
        </is>
      </c>
    </row>
    <row r="7">
      <c r="B7" s="3" t="inlineStr">
        <is>
          <t>広告費</t>
        </is>
      </c>
      <c r="C7" s="17" t="n">
        <v>0</v>
      </c>
      <c r="D7" s="2" t="inlineStr">
        <is>
          <t>−なら削減</t>
        </is>
      </c>
    </row>
    <row r="8">
      <c r="B8" s="3" t="inlineStr">
        <is>
          <t>返品・返金</t>
        </is>
      </c>
      <c r="C8" s="17" t="n">
        <v>-0.3</v>
      </c>
      <c r="D8" s="2" t="inlineStr">
        <is>
          <t>不良・説明文・梱包の改善</t>
        </is>
      </c>
    </row>
    <row r="9">
      <c r="B9" s="3" t="inlineStr">
        <is>
          <t>FBA配送手数料</t>
        </is>
      </c>
      <c r="C9" s="17" t="n">
        <v>0</v>
      </c>
      <c r="D9" s="2" t="inlineStr">
        <is>
          <t>梱包を小さくしてサイズ区分を下げるなど</t>
        </is>
      </c>
    </row>
    <row r="11">
      <c r="B11" s="7" t="inlineStr">
        <is>
          <t>項目（1個あたり）</t>
        </is>
      </c>
      <c r="C11" s="7" t="inlineStr">
        <is>
          <t>いま</t>
        </is>
      </c>
      <c r="D11" s="7" t="inlineStr">
        <is>
          <t>変えた後</t>
        </is>
      </c>
      <c r="E11" s="7" t="inlineStr">
        <is>
          <t>差</t>
        </is>
      </c>
    </row>
    <row r="12">
      <c r="B12" s="13" t="inlineStr">
        <is>
          <t>売上</t>
        </is>
      </c>
      <c r="C12" s="10">
        <f>IF('内訳'!$C$7&gt;0,SUM('月次'!$B$6:$B$29)/'内訳'!$C$7,0)</f>
        <v/>
      </c>
      <c r="D12" s="10">
        <f>C12*(1+$C$5)</f>
        <v/>
      </c>
      <c r="E12" s="10">
        <f>D12-C12</f>
        <v/>
      </c>
    </row>
    <row r="13">
      <c r="B13" s="13" t="inlineStr">
        <is>
          <t>返金</t>
        </is>
      </c>
      <c r="C13" s="10">
        <f>IF('内訳'!$C$7&gt;0,'内訳'!$C$23/'内訳'!$C$7,0)</f>
        <v/>
      </c>
      <c r="D13" s="10">
        <f>C13*(1+$C$5)*(1+$C$8)</f>
        <v/>
      </c>
      <c r="E13" s="10">
        <f>D13-C13</f>
        <v/>
      </c>
    </row>
    <row r="14">
      <c r="B14" s="13" t="inlineStr">
        <is>
          <t>商品原価</t>
        </is>
      </c>
      <c r="C14" s="10">
        <f>IF('内訳'!$C$7&gt;0,'内訳'!$C$17/'内訳'!$C$7,0)</f>
        <v/>
      </c>
      <c r="D14" s="10">
        <f>C14*(1+$C$6)</f>
        <v/>
      </c>
      <c r="E14" s="10">
        <f>D14-C14</f>
        <v/>
      </c>
    </row>
    <row r="15">
      <c r="B15" s="13" t="inlineStr">
        <is>
          <t>販売手数料</t>
        </is>
      </c>
      <c r="C15" s="10">
        <f>IF('内訳'!$C$7&gt;0,'内訳'!$C$18/'内訳'!$C$7,0)</f>
        <v/>
      </c>
      <c r="D15" s="10">
        <f>C15*(1+$C$5)</f>
        <v/>
      </c>
      <c r="E15" s="10">
        <f>D15-C15</f>
        <v/>
      </c>
    </row>
    <row r="16">
      <c r="B16" s="13" t="inlineStr">
        <is>
          <t>FBA配送手数料</t>
        </is>
      </c>
      <c r="C16" s="10">
        <f>IF('内訳'!$C$7&gt;0,'内訳'!$C$19/'内訳'!$C$7,0)</f>
        <v/>
      </c>
      <c r="D16" s="10">
        <f>C16*(1+$C$9)</f>
        <v/>
      </c>
      <c r="E16" s="10">
        <f>D16-C16</f>
        <v/>
      </c>
    </row>
    <row r="17">
      <c r="B17" s="13" t="inlineStr">
        <is>
          <t>保管・その他のAmazon費用</t>
        </is>
      </c>
      <c r="C17" s="10">
        <f>IF('内訳'!$C$7&gt;0,'内訳'!$C$20/'内訳'!$C$7,0)+IF('内訳'!$C$7&gt;0,'内訳'!$C$21/'内訳'!$C$7,0)</f>
        <v/>
      </c>
      <c r="D17" s="10">
        <f>C17</f>
        <v/>
      </c>
      <c r="E17" s="10">
        <f>D17-C17</f>
        <v/>
      </c>
    </row>
    <row r="18">
      <c r="B18" s="13" t="inlineStr">
        <is>
          <t>広告費</t>
        </is>
      </c>
      <c r="C18" s="10">
        <f>IF('内訳'!$C$7&gt;0,'内訳'!$C$22/'内訳'!$C$7,0)</f>
        <v/>
      </c>
      <c r="D18" s="10">
        <f>C18*(1+$C$7)</f>
        <v/>
      </c>
      <c r="E18" s="10">
        <f>D18-C18</f>
        <v/>
      </c>
    </row>
    <row r="19">
      <c r="B19" s="3" t="inlineStr">
        <is>
          <t>1個あたり利益</t>
        </is>
      </c>
      <c r="C19" s="15">
        <f>C12-SUM(C13:C18)</f>
        <v/>
      </c>
      <c r="D19" s="15">
        <f>D12-SUM(D13:D18)</f>
        <v/>
      </c>
      <c r="E19" s="15">
        <f>D19-C19</f>
        <v/>
      </c>
    </row>
    <row r="20">
      <c r="B20" s="3" t="inlineStr">
        <is>
          <t>期間の利益（実質の販売個数×1個あたり）</t>
        </is>
      </c>
      <c r="C20" s="15">
        <f>C19*'内訳'!$C$7</f>
        <v/>
      </c>
      <c r="D20" s="15">
        <f>D19*'内訳'!$C$7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2026-10-25T15:25:32Z</dcterms:created>
  <dcterms:modified xsi:type="dcterms:W3CDTF">2026-10-25T15:25:32Z</dcterms:modified>
</cp:coreProperties>
</file>