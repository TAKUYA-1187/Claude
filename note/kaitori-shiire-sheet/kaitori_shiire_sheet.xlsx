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設定" sheetId="2" state="visible" r:id="rId2"/>
    <sheet name="仕入れ判定" sheetId="3" state="visible" r:id="rId3"/>
    <sheet name="集計" sheetId="4" state="visible" r:id="rId4"/>
  </sheets>
  <definedNames>
    <definedName name="_xlnm._FilterDatabase" localSheetId="2" hidden="1">'仕入れ判定'!$A$5:$AA$505</definedName>
  </definedNames>
  <calcPr calcId="124519" fullCalcOnLoad="1"/>
</workbook>
</file>

<file path=xl/styles.xml><?xml version="1.0" encoding="utf-8"?>
<styleSheet xmlns="http://schemas.openxmlformats.org/spreadsheetml/2006/main">
  <numFmts count="5">
    <numFmt numFmtId="164" formatCode="#,##0;[Red]-#,##0;&quot;-&quot;"/>
    <numFmt numFmtId="165" formatCode="0.0%;[Red]-0.0%;&quot;-&quot;"/>
    <numFmt numFmtId="166" formatCode="yyyy/mm/dd"/>
    <numFmt numFmtId="167" formatCode="yyyy-mm-dd"/>
    <numFmt numFmtId="168" formatCode="yyyy年m月"/>
  </numFmts>
  <fonts count="6">
    <font>
      <name val="Calibri"/>
      <family val="2"/>
      <color theme="1"/>
      <sz val="11"/>
      <scheme val="minor"/>
    </font>
    <font>
      <name val="Yu Gothic"/>
      <b val="1"/>
      <sz val="14"/>
    </font>
    <font>
      <name val="Yu Gothic"/>
    </font>
    <font>
      <name val="Yu Gothic"/>
      <b val="1"/>
    </font>
    <font>
      <name val="Yu Gothic"/>
      <color rgb="000000FF"/>
    </font>
    <font>
      <name val="Yu Gothic"/>
      <b val="1"/>
      <color rgb="00FFFFFF"/>
    </font>
  </fonts>
  <fills count="5">
    <fill>
      <patternFill/>
    </fill>
    <fill>
      <patternFill patternType="gray125"/>
    </fill>
    <fill>
      <patternFill patternType="solid">
        <fgColor rgb="00FFF9DB"/>
      </patternFill>
    </fill>
    <fill>
      <patternFill patternType="solid">
        <fgColor rgb="000F6B52"/>
      </patternFill>
    </fill>
    <fill>
      <patternFill patternType="solid">
        <fgColor rgb="005B636E"/>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1" pivotButton="0" quotePrefix="0" xfId="0"/>
    <xf numFmtId="165" fontId="4" fillId="2" borderId="1" pivotButton="0" quotePrefix="0" xfId="0"/>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166" fontId="4" fillId="2" borderId="1" pivotButton="0" quotePrefix="0" xfId="0"/>
    <xf numFmtId="0" fontId="4" fillId="2" borderId="1" pivotButton="0" quotePrefix="0" xfId="0"/>
    <xf numFmtId="49" fontId="4" fillId="2" borderId="1" pivotButton="0" quotePrefix="0" xfId="0"/>
    <xf numFmtId="1" fontId="2" fillId="0" borderId="1" pivotButton="0" quotePrefix="0" xfId="0"/>
    <xf numFmtId="164" fontId="2" fillId="0" borderId="1" pivotButton="0" quotePrefix="0" xfId="0"/>
    <xf numFmtId="165" fontId="2" fillId="0" borderId="1" pivotButton="0" quotePrefix="0" xfId="0"/>
    <xf numFmtId="0" fontId="2" fillId="0" borderId="1" pivotButton="0" quotePrefix="0" xfId="0"/>
    <xf numFmtId="0" fontId="5" fillId="4" borderId="1" applyAlignment="1" pivotButton="0" quotePrefix="0" xfId="0">
      <alignment horizontal="center"/>
    </xf>
    <xf numFmtId="168" fontId="4" fillId="2" borderId="1" pivotButton="0" quotePrefix="0" xfId="0"/>
    <xf numFmtId="168" fontId="2" fillId="0" borderId="1" pivotButton="0" quotePrefix="0" xfId="0"/>
    <xf numFmtId="0" fontId="5" fillId="4" borderId="1" pivotButton="0" quotePrefix="0" xfId="0"/>
  </cellXfs>
  <cellStyles count="1">
    <cellStyle name="Normal" xfId="0" builtinId="0" hidden="0"/>
  </cellStyles>
  <dxfs count="3">
    <dxf>
      <fill>
        <patternFill patternType="solid">
          <fgColor rgb="00E6F2EE"/>
        </patternFill>
      </fill>
    </dxf>
    <dxf>
      <fill>
        <patternFill patternType="solid">
          <fgColor rgb="00FFF4CC"/>
        </patternFill>
      </fill>
    </dxf>
    <dxf>
      <fill>
        <patternFill patternType="solid">
          <fgColor rgb="00FBEE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sheet</author>
  </authors>
  <commentList>
    <comment ref="N5" authorId="0" shapeId="0">
      <text>
        <t>買取価格 − 仕入れ価格 − 1点あたり送料 − その他コスト。ポイントは含めない。</t>
      </text>
    </comment>
    <comment ref="Q5" authorId="0" shapeId="0">
      <text>
        <t>設定シートの下落シナリオ（初期値10%）だけ買取価格が下がった場合の利益。</t>
      </text>
    </comment>
    <comment ref="R5" authorId="0" shapeId="0">
      <text>
        <t>見込み利益と利益率が設定の基準以上なら OK。さらに下落時利益がマイナスなら「下落に弱い」。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買取せどり 仕入れ判定・入金管理シート</t>
        </is>
      </c>
    </row>
    <row r="2">
      <c r="A2" s="2" t="inlineStr"/>
    </row>
    <row r="3">
      <c r="A3" s="2" t="inlineStr">
        <is>
          <t>入力するのは黄色のセル（青い文字）だけです。灰色の見出しの列と、集計シートは自動で計算されます。</t>
        </is>
      </c>
    </row>
    <row r="4">
      <c r="A4" s="2" t="inlineStr"/>
    </row>
    <row r="5">
      <c r="A5" s="3" t="inlineStr">
        <is>
          <t>1. 設定シート：最低利益・最低利益率・送料／1箱・下落シナリオを、自分の基準に合わせる</t>
        </is>
      </c>
    </row>
    <row r="6">
      <c r="A6" s="3" t="inlineStr">
        <is>
          <t>2. 仕入れ判定シート：仕入れる前に、仕入れ価格と買取価格を入れて「判定」を見る</t>
        </is>
      </c>
    </row>
    <row r="7">
      <c r="A7" s="2" t="inlineStr">
        <is>
          <t xml:space="preserve">   ・同じ箱で送る商品には同じ箱ID（例：A1）を付ける。送料が点数で自動的に割られる（状態が「見送り」の行は点数に数えない）</t>
        </is>
      </c>
    </row>
    <row r="8">
      <c r="A8" s="2" t="inlineStr">
        <is>
          <t xml:space="preserve">   ・「OK・下落に弱い」は、買取価格が下落シナリオ分下がると赤字になる商品。点数を控えるか、すぐ発送する</t>
        </is>
      </c>
    </row>
    <row r="9">
      <c r="A9" s="2" t="inlineStr">
        <is>
          <t xml:space="preserve">   ・ポイントは判定に入れない（付与の時期・上限があるため）。別枠の列で確認する</t>
        </is>
      </c>
    </row>
    <row r="10">
      <c r="A10" s="3" t="inlineStr">
        <is>
          <t>3. 仕入れたら「状態」を 未発送 → 発送済 → 査定済 → 入金済 と更新し、確定買取額と日付を入れる</t>
        </is>
      </c>
    </row>
    <row r="11">
      <c r="A11" s="2" t="inlineStr">
        <is>
          <t xml:space="preserve">   ・状態が空欄の行は「判定しただけの候補」として、集計に数えない。見送った商品は「見送り」にしておくと後で見返せる</t>
        </is>
      </c>
    </row>
    <row r="12">
      <c r="A12" s="3" t="inlineStr">
        <is>
          <t>4. 集計シート：立て替えている現金、月別の見込み利益と確定利益、買取店別の減額率を確認する</t>
        </is>
      </c>
    </row>
    <row r="13">
      <c r="A13" s="2" t="inlineStr"/>
    </row>
    <row r="14">
      <c r="A14" s="3" t="inlineStr">
        <is>
          <t>判定のルール</t>
        </is>
      </c>
    </row>
    <row r="15">
      <c r="A15" s="2" t="inlineStr">
        <is>
          <t>仕入れOK：見込み利益 ≥ 最低利益、かつ 利益率 ≥ 最低利益率、かつ 下落時利益 ≥ 0</t>
        </is>
      </c>
    </row>
    <row r="16">
      <c r="A16" s="2" t="inlineStr">
        <is>
          <t>OK・下落に弱い：基準は満たすが、下落時利益がマイナス</t>
        </is>
      </c>
    </row>
    <row r="17">
      <c r="A17" s="2" t="inlineStr">
        <is>
          <t>見送り：見込み利益か利益率が基準未満</t>
        </is>
      </c>
    </row>
    <row r="18">
      <c r="A18" s="2" t="inlineStr"/>
    </row>
    <row r="19">
      <c r="A19" s="3" t="inlineStr">
        <is>
          <t>注意</t>
        </is>
      </c>
    </row>
    <row r="20">
      <c r="A20" s="2" t="inlineStr">
        <is>
          <t>・仕入れ価格は、クーポン・送料を反映した支払額を入れる</t>
        </is>
      </c>
    </row>
    <row r="21">
      <c r="A21" s="2" t="inlineStr">
        <is>
          <t>・買取価格は日々変わります。判定は入力した時点の数字での計算で、利益を保証するものではありません</t>
        </is>
      </c>
    </row>
    <row r="22">
      <c r="A22" s="2" t="inlineStr">
        <is>
          <t>・初期値の基準（利益500円・利益率15%・送料600円/箱）は運営者の実際の設定です。自分の送料・資金に合わせて変えてください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6" customWidth="1" min="2" max="2"/>
    <col width="14" customWidth="1" min="3" max="3"/>
    <col width="80" customWidth="1" min="4" max="4"/>
  </cols>
  <sheetData>
    <row r="1">
      <c r="A1" s="1" t="inlineStr">
        <is>
          <t>判定基準の設定</t>
        </is>
      </c>
    </row>
    <row r="2">
      <c r="A2" s="2" t="inlineStr">
        <is>
          <t>黄色のセルだけ書き換えてください。変えると全シートの判定が変わります。</t>
        </is>
      </c>
    </row>
    <row r="4">
      <c r="B4" s="3" t="inlineStr">
        <is>
          <t>最低利益（円）</t>
        </is>
      </c>
      <c r="C4" s="4" t="n">
        <v>500</v>
      </c>
      <c r="D4" s="2" t="inlineStr">
        <is>
          <t>1件あたり、これ未満の利益なら見送る。初期値は運営者の実際の基準。</t>
        </is>
      </c>
    </row>
    <row r="5">
      <c r="B5" s="3" t="inlineStr">
        <is>
          <t>最低利益率</t>
        </is>
      </c>
      <c r="C5" s="5" t="n">
        <v>0.15</v>
      </c>
      <c r="D5" s="2" t="inlineStr">
        <is>
          <t>利益 ÷ 仕入れ価格。これ未満なら見送る。初期値は運営者の実際の基準。</t>
        </is>
      </c>
    </row>
    <row r="6">
      <c r="B6" s="3" t="inlineStr">
        <is>
          <t>送料／1箱（円）</t>
        </is>
      </c>
      <c r="C6" s="4" t="n">
        <v>600</v>
      </c>
      <c r="D6" s="2" t="inlineStr">
        <is>
          <t>箱ごとに違う場合は、仕入れ判定シートの「箱の送料」列に入れると優先される。</t>
        </is>
      </c>
    </row>
    <row r="7">
      <c r="B7" s="3" t="inlineStr">
        <is>
          <t>買取価格の下落シナリオ</t>
        </is>
      </c>
      <c r="C7" s="5" t="n">
        <v>0.1</v>
      </c>
      <c r="D7" s="2" t="inlineStr">
        <is>
          <t>発送から査定までに買取価格がこの割合だけ下がったときの利益を併記する。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15" customWidth="1" min="3" max="3"/>
    <col width="11" customWidth="1" min="4" max="4"/>
    <col width="12" customWidth="1" min="5" max="5"/>
    <col width="8" customWidth="1" min="6" max="6"/>
    <col width="11" customWidth="1" min="7" max="7"/>
    <col width="9" customWidth="1" min="8" max="8"/>
    <col width="11" customWidth="1" min="9" max="9"/>
    <col width="9" customWidth="1" min="10" max="10"/>
    <col width="12" customWidth="1" min="11" max="11"/>
    <col width="8" customWidth="1" min="12" max="12"/>
    <col width="10" customWidth="1" min="13" max="13"/>
    <col width="10" customWidth="1" min="14" max="14"/>
    <col width="8" customWidth="1" min="15" max="15"/>
    <col width="9" customWidth="1" min="16" max="16"/>
    <col width="9" customWidth="1" min="17" max="17"/>
    <col width="14" customWidth="1" min="18" max="18"/>
    <col width="9" customWidth="1" min="19" max="19"/>
    <col width="11" customWidth="1" min="20" max="20"/>
    <col width="10" customWidth="1" min="21" max="21"/>
    <col width="11" customWidth="1" min="22" max="22"/>
    <col width="10" customWidth="1" min="23" max="23"/>
    <col width="9" customWidth="1" min="24" max="24"/>
    <col width="9" customWidth="1" min="25" max="25"/>
    <col width="8" customWidth="1" min="26" max="26"/>
    <col width="8" customWidth="1" min="27" max="27"/>
  </cols>
  <sheetData>
    <row r="1">
      <c r="A1" s="1" t="inlineStr">
        <is>
          <t>仕入れ判定・入金管理</t>
        </is>
      </c>
    </row>
    <row r="2">
      <c r="A2" s="2" t="inlineStr">
        <is>
          <t>緑の見出し＝入力する列／灰色の見出し＝自動計算。同じ箱で送る商品には同じ「箱ID」を付けると、送料が点数で自動的に割られます。</t>
        </is>
      </c>
    </row>
    <row r="3">
      <c r="A3" s="2" t="inlineStr">
        <is>
          <t>【例】の3行は見本です（同梱で送料が割られる例と、利益率不足で見送る例）。使い始めるときは行ごと消すか、上書きしてください。</t>
        </is>
      </c>
    </row>
    <row r="5" ht="36" customHeight="1">
      <c r="A5" s="6" t="inlineStr">
        <is>
          <t>仕入れ日</t>
        </is>
      </c>
      <c r="B5" s="6" t="inlineStr">
        <is>
          <t>商品名</t>
        </is>
      </c>
      <c r="C5" s="6" t="inlineStr">
        <is>
          <t>JAN</t>
        </is>
      </c>
      <c r="D5" s="6" t="inlineStr">
        <is>
          <t>仕入れ先</t>
        </is>
      </c>
      <c r="E5" s="6" t="inlineStr">
        <is>
          <t>買取店</t>
        </is>
      </c>
      <c r="F5" s="6" t="inlineStr">
        <is>
          <t>箱ID</t>
        </is>
      </c>
      <c r="G5" s="6" t="inlineStr">
        <is>
          <t>仕入れ価格
（支払額）</t>
        </is>
      </c>
      <c r="H5" s="6" t="inlineStr">
        <is>
          <t>ポイント
還元率</t>
        </is>
      </c>
      <c r="I5" s="6" t="inlineStr">
        <is>
          <t>買取価格
（提示額）</t>
        </is>
      </c>
      <c r="J5" s="6" t="inlineStr">
        <is>
          <t>その他
コスト</t>
        </is>
      </c>
      <c r="K5" s="6" t="inlineStr">
        <is>
          <t>箱の送料
（空欄=設定値）</t>
        </is>
      </c>
      <c r="L5" s="7" t="inlineStr">
        <is>
          <t>同梱点数</t>
        </is>
      </c>
      <c r="M5" s="7" t="inlineStr">
        <is>
          <t>1点あたり
送料</t>
        </is>
      </c>
      <c r="N5" s="7" t="inlineStr">
        <is>
          <t>見込み利益</t>
        </is>
      </c>
      <c r="O5" s="7" t="inlineStr">
        <is>
          <t>利益率</t>
        </is>
      </c>
      <c r="P5" s="7" t="inlineStr">
        <is>
          <t>ポイント
（別枠）</t>
        </is>
      </c>
      <c r="Q5" s="7" t="inlineStr">
        <is>
          <t>下落時
利益</t>
        </is>
      </c>
      <c r="R5" s="7" t="inlineStr">
        <is>
          <t>判定</t>
        </is>
      </c>
      <c r="S5" s="6" t="inlineStr">
        <is>
          <t>状態</t>
        </is>
      </c>
      <c r="T5" s="6" t="inlineStr">
        <is>
          <t>発送日</t>
        </is>
      </c>
      <c r="U5" s="6" t="inlineStr">
        <is>
          <t>確定
買取額</t>
        </is>
      </c>
      <c r="V5" s="6" t="inlineStr">
        <is>
          <t>入金日</t>
        </is>
      </c>
      <c r="W5" s="7" t="inlineStr">
        <is>
          <t>確定利益</t>
        </is>
      </c>
      <c r="X5" s="7" t="inlineStr">
        <is>
          <t>減額</t>
        </is>
      </c>
      <c r="Y5" s="7" t="inlineStr">
        <is>
          <t>発送→入金
日数</t>
        </is>
      </c>
      <c r="Z5" s="7" t="inlineStr">
        <is>
          <t>仕入れ済み</t>
        </is>
      </c>
      <c r="AA5" s="7" t="inlineStr">
        <is>
          <t>確定済み</t>
        </is>
      </c>
    </row>
    <row r="6">
      <c r="A6" s="8" t="n">
        <v>46296</v>
      </c>
      <c r="B6" s="9" t="inlineStr">
        <is>
          <t>【例】ゲームソフトA</t>
        </is>
      </c>
      <c r="C6" s="10" t="inlineStr">
        <is>
          <t>4900000000001</t>
        </is>
      </c>
      <c r="D6" s="9" t="inlineStr">
        <is>
          <t>楽天市場</t>
        </is>
      </c>
      <c r="E6" s="9" t="inlineStr">
        <is>
          <t>買取店X</t>
        </is>
      </c>
      <c r="F6" s="9" t="inlineStr">
        <is>
          <t>A1</t>
        </is>
      </c>
      <c r="G6" s="4" t="n">
        <v>3800</v>
      </c>
      <c r="H6" s="5" t="n">
        <v>0.05</v>
      </c>
      <c r="I6" s="4" t="n">
        <v>5000</v>
      </c>
      <c r="J6" s="4" t="n">
        <v>0</v>
      </c>
      <c r="K6" s="4" t="n"/>
      <c r="L6" s="11">
        <f>IF($G6="","",IF($F6="",1,MAX(1,COUNTIF($F$6:$F$505,$F6)-COUNTIFS($F$6:$F$505,$F6,$S$6:$S$505,"見送り"))))</f>
        <v/>
      </c>
      <c r="M6" s="12">
        <f>IF($G6="","",IF($K6="",'設定'!$C$6,$K6)/$L6)</f>
        <v/>
      </c>
      <c r="N6" s="12">
        <f>IF(OR($G6="",$I6=""),"",$I6-$G6-$M6-$J6)</f>
        <v/>
      </c>
      <c r="O6" s="13">
        <f>IF($N6="","",IF($G6&gt;0,$N6/$G6,0))</f>
        <v/>
      </c>
      <c r="P6" s="12">
        <f>IF($G6="","",$G6*$H6)</f>
        <v/>
      </c>
      <c r="Q6" s="12">
        <f>IF($N6="","",$N6-$I6*'設定'!$C$7)</f>
        <v/>
      </c>
      <c r="R6" s="14">
        <f>IF($N6="","",IF(AND($N6&gt;='設定'!$C$4,$O6&gt;='設定'!$C$5),IF($Q6&gt;=0,"仕入れOK","OK・下落に弱い"),"見送り"))</f>
        <v/>
      </c>
      <c r="S6" s="9" t="inlineStr">
        <is>
          <t>未発送</t>
        </is>
      </c>
      <c r="T6" s="8" t="n"/>
      <c r="U6" s="4" t="n"/>
      <c r="V6" s="8" t="n"/>
      <c r="W6" s="12">
        <f>IF(OR($G6="",$U6=""),"",$U6-$G6-$M6-$J6)</f>
        <v/>
      </c>
      <c r="X6" s="12">
        <f>IF(OR($I6="",$U6=""),"",$I6-$U6)</f>
        <v/>
      </c>
      <c r="Y6" s="11">
        <f>IF(OR($T6="",$V6=""),"",$V6-$T6)</f>
        <v/>
      </c>
      <c r="Z6" s="11">
        <f>IF(OR($S6="未発送",$S6="発送済",$S6="査定済",$S6="入金済"),1,0)</f>
        <v/>
      </c>
      <c r="AA6" s="11">
        <f>IF($U6="",0,1)</f>
        <v/>
      </c>
    </row>
    <row r="7">
      <c r="A7" s="8" t="n">
        <v>46296</v>
      </c>
      <c r="B7" s="9" t="inlineStr">
        <is>
          <t>【例】イヤホンB</t>
        </is>
      </c>
      <c r="C7" s="10" t="inlineStr">
        <is>
          <t>4900000000002</t>
        </is>
      </c>
      <c r="D7" s="9" t="inlineStr">
        <is>
          <t>Yahoo!</t>
        </is>
      </c>
      <c r="E7" s="9" t="inlineStr">
        <is>
          <t>買取店X</t>
        </is>
      </c>
      <c r="F7" s="9" t="inlineStr">
        <is>
          <t>A1</t>
        </is>
      </c>
      <c r="G7" s="4" t="n">
        <v>9200</v>
      </c>
      <c r="H7" s="5" t="n">
        <v>0.1</v>
      </c>
      <c r="I7" s="4" t="n">
        <v>10500</v>
      </c>
      <c r="J7" s="4" t="n">
        <v>0</v>
      </c>
      <c r="K7" s="4" t="n"/>
      <c r="L7" s="11">
        <f>IF($G7="","",IF($F7="",1,MAX(1,COUNTIF($F$6:$F$505,$F7)-COUNTIFS($F$6:$F$505,$F7,$S$6:$S$505,"見送り"))))</f>
        <v/>
      </c>
      <c r="M7" s="12">
        <f>IF($G7="","",IF($K7="",'設定'!$C$6,$K7)/$L7)</f>
        <v/>
      </c>
      <c r="N7" s="12">
        <f>IF(OR($G7="",$I7=""),"",$I7-$G7-$M7-$J7)</f>
        <v/>
      </c>
      <c r="O7" s="13">
        <f>IF($N7="","",IF($G7&gt;0,$N7/$G7,0))</f>
        <v/>
      </c>
      <c r="P7" s="12">
        <f>IF($G7="","",$G7*$H7)</f>
        <v/>
      </c>
      <c r="Q7" s="12">
        <f>IF($N7="","",$N7-$I7*'設定'!$C$7)</f>
        <v/>
      </c>
      <c r="R7" s="14">
        <f>IF($N7="","",IF(AND($N7&gt;='設定'!$C$4,$O7&gt;='設定'!$C$5),IF($Q7&gt;=0,"仕入れOK","OK・下落に弱い"),"見送り"))</f>
        <v/>
      </c>
      <c r="S7" s="9" t="inlineStr">
        <is>
          <t>見送り</t>
        </is>
      </c>
      <c r="T7" s="8" t="n"/>
      <c r="U7" s="4" t="n"/>
      <c r="V7" s="8" t="n"/>
      <c r="W7" s="12">
        <f>IF(OR($G7="",$U7=""),"",$U7-$G7-$M7-$J7)</f>
        <v/>
      </c>
      <c r="X7" s="12">
        <f>IF(OR($I7="",$U7=""),"",$I7-$U7)</f>
        <v/>
      </c>
      <c r="Y7" s="11">
        <f>IF(OR($T7="",$V7=""),"",$V7-$T7)</f>
        <v/>
      </c>
      <c r="Z7" s="11">
        <f>IF(OR($S7="未発送",$S7="発送済",$S7="査定済",$S7="入金済"),1,0)</f>
        <v/>
      </c>
      <c r="AA7" s="11">
        <f>IF($U7="",0,1)</f>
        <v/>
      </c>
    </row>
    <row r="8">
      <c r="A8" s="8" t="n">
        <v>46297</v>
      </c>
      <c r="B8" s="9" t="inlineStr">
        <is>
          <t>【例】周辺機器C</t>
        </is>
      </c>
      <c r="C8" s="10" t="inlineStr">
        <is>
          <t>4900000000003</t>
        </is>
      </c>
      <c r="D8" s="9" t="inlineStr">
        <is>
          <t>Amazon</t>
        </is>
      </c>
      <c r="E8" s="9" t="inlineStr">
        <is>
          <t>買取店X</t>
        </is>
      </c>
      <c r="F8" s="9" t="inlineStr">
        <is>
          <t>A1</t>
        </is>
      </c>
      <c r="G8" s="4" t="n">
        <v>2400</v>
      </c>
      <c r="H8" s="5" t="n">
        <v>0.01</v>
      </c>
      <c r="I8" s="4" t="n">
        <v>3200</v>
      </c>
      <c r="J8" s="4" t="n">
        <v>0</v>
      </c>
      <c r="K8" s="4" t="n"/>
      <c r="L8" s="11">
        <f>IF($G8="","",IF($F8="",1,MAX(1,COUNTIF($F$6:$F$505,$F8)-COUNTIFS($F$6:$F$505,$F8,$S$6:$S$505,"見送り"))))</f>
        <v/>
      </c>
      <c r="M8" s="12">
        <f>IF($G8="","",IF($K8="",'設定'!$C$6,$K8)/$L8)</f>
        <v/>
      </c>
      <c r="N8" s="12">
        <f>IF(OR($G8="",$I8=""),"",$I8-$G8-$M8-$J8)</f>
        <v/>
      </c>
      <c r="O8" s="13">
        <f>IF($N8="","",IF($G8&gt;0,$N8/$G8,0))</f>
        <v/>
      </c>
      <c r="P8" s="12">
        <f>IF($G8="","",$G8*$H8)</f>
        <v/>
      </c>
      <c r="Q8" s="12">
        <f>IF($N8="","",$N8-$I8*'設定'!$C$7)</f>
        <v/>
      </c>
      <c r="R8" s="14">
        <f>IF($N8="","",IF(AND($N8&gt;='設定'!$C$4,$O8&gt;='設定'!$C$5),IF($Q8&gt;=0,"仕入れOK","OK・下落に弱い"),"見送り"))</f>
        <v/>
      </c>
      <c r="S8" s="9" t="inlineStr">
        <is>
          <t>未発送</t>
        </is>
      </c>
      <c r="T8" s="8" t="n"/>
      <c r="U8" s="4" t="n"/>
      <c r="V8" s="8" t="n"/>
      <c r="W8" s="12">
        <f>IF(OR($G8="",$U8=""),"",$U8-$G8-$M8-$J8)</f>
        <v/>
      </c>
      <c r="X8" s="12">
        <f>IF(OR($I8="",$U8=""),"",$I8-$U8)</f>
        <v/>
      </c>
      <c r="Y8" s="11">
        <f>IF(OR($T8="",$V8=""),"",$V8-$T8)</f>
        <v/>
      </c>
      <c r="Z8" s="11">
        <f>IF(OR($S8="未発送",$S8="発送済",$S8="査定済",$S8="入金済"),1,0)</f>
        <v/>
      </c>
      <c r="AA8" s="11">
        <f>IF($U8="",0,1)</f>
        <v/>
      </c>
    </row>
    <row r="9">
      <c r="A9" s="8" t="n"/>
      <c r="B9" s="9" t="n"/>
      <c r="C9" s="10" t="n"/>
      <c r="D9" s="9" t="n"/>
      <c r="E9" s="9" t="n"/>
      <c r="F9" s="9" t="n"/>
      <c r="G9" s="4" t="n"/>
      <c r="H9" s="5" t="n"/>
      <c r="I9" s="4" t="n"/>
      <c r="J9" s="4" t="n"/>
      <c r="K9" s="4" t="n"/>
      <c r="L9" s="11">
        <f>IF($G9="","",IF($F9="",1,MAX(1,COUNTIF($F$6:$F$505,$F9)-COUNTIFS($F$6:$F$505,$F9,$S$6:$S$505,"見送り"))))</f>
        <v/>
      </c>
      <c r="M9" s="12">
        <f>IF($G9="","",IF($K9="",'設定'!$C$6,$K9)/$L9)</f>
        <v/>
      </c>
      <c r="N9" s="12">
        <f>IF(OR($G9="",$I9=""),"",$I9-$G9-$M9-$J9)</f>
        <v/>
      </c>
      <c r="O9" s="13">
        <f>IF($N9="","",IF($G9&gt;0,$N9/$G9,0))</f>
        <v/>
      </c>
      <c r="P9" s="12">
        <f>IF($G9="","",$G9*$H9)</f>
        <v/>
      </c>
      <c r="Q9" s="12">
        <f>IF($N9="","",$N9-$I9*'設定'!$C$7)</f>
        <v/>
      </c>
      <c r="R9" s="14">
        <f>IF($N9="","",IF(AND($N9&gt;='設定'!$C$4,$O9&gt;='設定'!$C$5),IF($Q9&gt;=0,"仕入れOK","OK・下落に弱い"),"見送り"))</f>
        <v/>
      </c>
      <c r="S9" s="9" t="n"/>
      <c r="T9" s="8" t="n"/>
      <c r="U9" s="4" t="n"/>
      <c r="V9" s="8" t="n"/>
      <c r="W9" s="12">
        <f>IF(OR($G9="",$U9=""),"",$U9-$G9-$M9-$J9)</f>
        <v/>
      </c>
      <c r="X9" s="12">
        <f>IF(OR($I9="",$U9=""),"",$I9-$U9)</f>
        <v/>
      </c>
      <c r="Y9" s="11">
        <f>IF(OR($T9="",$V9=""),"",$V9-$T9)</f>
        <v/>
      </c>
      <c r="Z9" s="11">
        <f>IF(OR($S9="未発送",$S9="発送済",$S9="査定済",$S9="入金済"),1,0)</f>
        <v/>
      </c>
      <c r="AA9" s="11">
        <f>IF($U9="",0,1)</f>
        <v/>
      </c>
    </row>
    <row r="10">
      <c r="A10" s="8" t="n"/>
      <c r="B10" s="9" t="n"/>
      <c r="C10" s="10" t="n"/>
      <c r="D10" s="9" t="n"/>
      <c r="E10" s="9" t="n"/>
      <c r="F10" s="9" t="n"/>
      <c r="G10" s="4" t="n"/>
      <c r="H10" s="5" t="n"/>
      <c r="I10" s="4" t="n"/>
      <c r="J10" s="4" t="n"/>
      <c r="K10" s="4" t="n"/>
      <c r="L10" s="11">
        <f>IF($G10="","",IF($F10="",1,MAX(1,COUNTIF($F$6:$F$505,$F10)-COUNTIFS($F$6:$F$505,$F10,$S$6:$S$505,"見送り"))))</f>
        <v/>
      </c>
      <c r="M10" s="12">
        <f>IF($G10="","",IF($K10="",'設定'!$C$6,$K10)/$L10)</f>
        <v/>
      </c>
      <c r="N10" s="12">
        <f>IF(OR($G10="",$I10=""),"",$I10-$G10-$M10-$J10)</f>
        <v/>
      </c>
      <c r="O10" s="13">
        <f>IF($N10="","",IF($G10&gt;0,$N10/$G10,0))</f>
        <v/>
      </c>
      <c r="P10" s="12">
        <f>IF($G10="","",$G10*$H10)</f>
        <v/>
      </c>
      <c r="Q10" s="12">
        <f>IF($N10="","",$N10-$I10*'設定'!$C$7)</f>
        <v/>
      </c>
      <c r="R10" s="14">
        <f>IF($N10="","",IF(AND($N10&gt;='設定'!$C$4,$O10&gt;='設定'!$C$5),IF($Q10&gt;=0,"仕入れOK","OK・下落に弱い"),"見送り"))</f>
        <v/>
      </c>
      <c r="S10" s="9" t="n"/>
      <c r="T10" s="8" t="n"/>
      <c r="U10" s="4" t="n"/>
      <c r="V10" s="8" t="n"/>
      <c r="W10" s="12">
        <f>IF(OR($G10="",$U10=""),"",$U10-$G10-$M10-$J10)</f>
        <v/>
      </c>
      <c r="X10" s="12">
        <f>IF(OR($I10="",$U10=""),"",$I10-$U10)</f>
        <v/>
      </c>
      <c r="Y10" s="11">
        <f>IF(OR($T10="",$V10=""),"",$V10-$T10)</f>
        <v/>
      </c>
      <c r="Z10" s="11">
        <f>IF(OR($S10="未発送",$S10="発送済",$S10="査定済",$S10="入金済"),1,0)</f>
        <v/>
      </c>
      <c r="AA10" s="11">
        <f>IF($U10="",0,1)</f>
        <v/>
      </c>
    </row>
    <row r="11">
      <c r="A11" s="8" t="n"/>
      <c r="B11" s="9" t="n"/>
      <c r="C11" s="10" t="n"/>
      <c r="D11" s="9" t="n"/>
      <c r="E11" s="9" t="n"/>
      <c r="F11" s="9" t="n"/>
      <c r="G11" s="4" t="n"/>
      <c r="H11" s="5" t="n"/>
      <c r="I11" s="4" t="n"/>
      <c r="J11" s="4" t="n"/>
      <c r="K11" s="4" t="n"/>
      <c r="L11" s="11">
        <f>IF($G11="","",IF($F11="",1,MAX(1,COUNTIF($F$6:$F$505,$F11)-COUNTIFS($F$6:$F$505,$F11,$S$6:$S$505,"見送り"))))</f>
        <v/>
      </c>
      <c r="M11" s="12">
        <f>IF($G11="","",IF($K11="",'設定'!$C$6,$K11)/$L11)</f>
        <v/>
      </c>
      <c r="N11" s="12">
        <f>IF(OR($G11="",$I11=""),"",$I11-$G11-$M11-$J11)</f>
        <v/>
      </c>
      <c r="O11" s="13">
        <f>IF($N11="","",IF($G11&gt;0,$N11/$G11,0))</f>
        <v/>
      </c>
      <c r="P11" s="12">
        <f>IF($G11="","",$G11*$H11)</f>
        <v/>
      </c>
      <c r="Q11" s="12">
        <f>IF($N11="","",$N11-$I11*'設定'!$C$7)</f>
        <v/>
      </c>
      <c r="R11" s="14">
        <f>IF($N11="","",IF(AND($N11&gt;='設定'!$C$4,$O11&gt;='設定'!$C$5),IF($Q11&gt;=0,"仕入れOK","OK・下落に弱い"),"見送り"))</f>
        <v/>
      </c>
      <c r="S11" s="9" t="n"/>
      <c r="T11" s="8" t="n"/>
      <c r="U11" s="4" t="n"/>
      <c r="V11" s="8" t="n"/>
      <c r="W11" s="12">
        <f>IF(OR($G11="",$U11=""),"",$U11-$G11-$M11-$J11)</f>
        <v/>
      </c>
      <c r="X11" s="12">
        <f>IF(OR($I11="",$U11=""),"",$I11-$U11)</f>
        <v/>
      </c>
      <c r="Y11" s="11">
        <f>IF(OR($T11="",$V11=""),"",$V11-$T11)</f>
        <v/>
      </c>
      <c r="Z11" s="11">
        <f>IF(OR($S11="未発送",$S11="発送済",$S11="査定済",$S11="入金済"),1,0)</f>
        <v/>
      </c>
      <c r="AA11" s="11">
        <f>IF($U11="",0,1)</f>
        <v/>
      </c>
    </row>
    <row r="12">
      <c r="A12" s="8" t="n"/>
      <c r="B12" s="9" t="n"/>
      <c r="C12" s="10" t="n"/>
      <c r="D12" s="9" t="n"/>
      <c r="E12" s="9" t="n"/>
      <c r="F12" s="9" t="n"/>
      <c r="G12" s="4" t="n"/>
      <c r="H12" s="5" t="n"/>
      <c r="I12" s="4" t="n"/>
      <c r="J12" s="4" t="n"/>
      <c r="K12" s="4" t="n"/>
      <c r="L12" s="11">
        <f>IF($G12="","",IF($F12="",1,MAX(1,COUNTIF($F$6:$F$505,$F12)-COUNTIFS($F$6:$F$505,$F12,$S$6:$S$505,"見送り"))))</f>
        <v/>
      </c>
      <c r="M12" s="12">
        <f>IF($G12="","",IF($K12="",'設定'!$C$6,$K12)/$L12)</f>
        <v/>
      </c>
      <c r="N12" s="12">
        <f>IF(OR($G12="",$I12=""),"",$I12-$G12-$M12-$J12)</f>
        <v/>
      </c>
      <c r="O12" s="13">
        <f>IF($N12="","",IF($G12&gt;0,$N12/$G12,0))</f>
        <v/>
      </c>
      <c r="P12" s="12">
        <f>IF($G12="","",$G12*$H12)</f>
        <v/>
      </c>
      <c r="Q12" s="12">
        <f>IF($N12="","",$N12-$I12*'設定'!$C$7)</f>
        <v/>
      </c>
      <c r="R12" s="14">
        <f>IF($N12="","",IF(AND($N12&gt;='設定'!$C$4,$O12&gt;='設定'!$C$5),IF($Q12&gt;=0,"仕入れOK","OK・下落に弱い"),"見送り"))</f>
        <v/>
      </c>
      <c r="S12" s="9" t="n"/>
      <c r="T12" s="8" t="n"/>
      <c r="U12" s="4" t="n"/>
      <c r="V12" s="8" t="n"/>
      <c r="W12" s="12">
        <f>IF(OR($G12="",$U12=""),"",$U12-$G12-$M12-$J12)</f>
        <v/>
      </c>
      <c r="X12" s="12">
        <f>IF(OR($I12="",$U12=""),"",$I12-$U12)</f>
        <v/>
      </c>
      <c r="Y12" s="11">
        <f>IF(OR($T12="",$V12=""),"",$V12-$T12)</f>
        <v/>
      </c>
      <c r="Z12" s="11">
        <f>IF(OR($S12="未発送",$S12="発送済",$S12="査定済",$S12="入金済"),1,0)</f>
        <v/>
      </c>
      <c r="AA12" s="11">
        <f>IF($U12="",0,1)</f>
        <v/>
      </c>
    </row>
    <row r="13">
      <c r="A13" s="8" t="n"/>
      <c r="B13" s="9" t="n"/>
      <c r="C13" s="10" t="n"/>
      <c r="D13" s="9" t="n"/>
      <c r="E13" s="9" t="n"/>
      <c r="F13" s="9" t="n"/>
      <c r="G13" s="4" t="n"/>
      <c r="H13" s="5" t="n"/>
      <c r="I13" s="4" t="n"/>
      <c r="J13" s="4" t="n"/>
      <c r="K13" s="4" t="n"/>
      <c r="L13" s="11">
        <f>IF($G13="","",IF($F13="",1,MAX(1,COUNTIF($F$6:$F$505,$F13)-COUNTIFS($F$6:$F$505,$F13,$S$6:$S$505,"見送り"))))</f>
        <v/>
      </c>
      <c r="M13" s="12">
        <f>IF($G13="","",IF($K13="",'設定'!$C$6,$K13)/$L13)</f>
        <v/>
      </c>
      <c r="N13" s="12">
        <f>IF(OR($G13="",$I13=""),"",$I13-$G13-$M13-$J13)</f>
        <v/>
      </c>
      <c r="O13" s="13">
        <f>IF($N13="","",IF($G13&gt;0,$N13/$G13,0))</f>
        <v/>
      </c>
      <c r="P13" s="12">
        <f>IF($G13="","",$G13*$H13)</f>
        <v/>
      </c>
      <c r="Q13" s="12">
        <f>IF($N13="","",$N13-$I13*'設定'!$C$7)</f>
        <v/>
      </c>
      <c r="R13" s="14">
        <f>IF($N13="","",IF(AND($N13&gt;='設定'!$C$4,$O13&gt;='設定'!$C$5),IF($Q13&gt;=0,"仕入れOK","OK・下落に弱い"),"見送り"))</f>
        <v/>
      </c>
      <c r="S13" s="9" t="n"/>
      <c r="T13" s="8" t="n"/>
      <c r="U13" s="4" t="n"/>
      <c r="V13" s="8" t="n"/>
      <c r="W13" s="12">
        <f>IF(OR($G13="",$U13=""),"",$U13-$G13-$M13-$J13)</f>
        <v/>
      </c>
      <c r="X13" s="12">
        <f>IF(OR($I13="",$U13=""),"",$I13-$U13)</f>
        <v/>
      </c>
      <c r="Y13" s="11">
        <f>IF(OR($T13="",$V13=""),"",$V13-$T13)</f>
        <v/>
      </c>
      <c r="Z13" s="11">
        <f>IF(OR($S13="未発送",$S13="発送済",$S13="査定済",$S13="入金済"),1,0)</f>
        <v/>
      </c>
      <c r="AA13" s="11">
        <f>IF($U13="",0,1)</f>
        <v/>
      </c>
    </row>
    <row r="14">
      <c r="A14" s="8" t="n"/>
      <c r="B14" s="9" t="n"/>
      <c r="C14" s="10" t="n"/>
      <c r="D14" s="9" t="n"/>
      <c r="E14" s="9" t="n"/>
      <c r="F14" s="9" t="n"/>
      <c r="G14" s="4" t="n"/>
      <c r="H14" s="5" t="n"/>
      <c r="I14" s="4" t="n"/>
      <c r="J14" s="4" t="n"/>
      <c r="K14" s="4" t="n"/>
      <c r="L14" s="11">
        <f>IF($G14="","",IF($F14="",1,MAX(1,COUNTIF($F$6:$F$505,$F14)-COUNTIFS($F$6:$F$505,$F14,$S$6:$S$505,"見送り"))))</f>
        <v/>
      </c>
      <c r="M14" s="12">
        <f>IF($G14="","",IF($K14="",'設定'!$C$6,$K14)/$L14)</f>
        <v/>
      </c>
      <c r="N14" s="12">
        <f>IF(OR($G14="",$I14=""),"",$I14-$G14-$M14-$J14)</f>
        <v/>
      </c>
      <c r="O14" s="13">
        <f>IF($N14="","",IF($G14&gt;0,$N14/$G14,0))</f>
        <v/>
      </c>
      <c r="P14" s="12">
        <f>IF($G14="","",$G14*$H14)</f>
        <v/>
      </c>
      <c r="Q14" s="12">
        <f>IF($N14="","",$N14-$I14*'設定'!$C$7)</f>
        <v/>
      </c>
      <c r="R14" s="14">
        <f>IF($N14="","",IF(AND($N14&gt;='設定'!$C$4,$O14&gt;='設定'!$C$5),IF($Q14&gt;=0,"仕入れOK","OK・下落に弱い"),"見送り"))</f>
        <v/>
      </c>
      <c r="S14" s="9" t="n"/>
      <c r="T14" s="8" t="n"/>
      <c r="U14" s="4" t="n"/>
      <c r="V14" s="8" t="n"/>
      <c r="W14" s="12">
        <f>IF(OR($G14="",$U14=""),"",$U14-$G14-$M14-$J14)</f>
        <v/>
      </c>
      <c r="X14" s="12">
        <f>IF(OR($I14="",$U14=""),"",$I14-$U14)</f>
        <v/>
      </c>
      <c r="Y14" s="11">
        <f>IF(OR($T14="",$V14=""),"",$V14-$T14)</f>
        <v/>
      </c>
      <c r="Z14" s="11">
        <f>IF(OR($S14="未発送",$S14="発送済",$S14="査定済",$S14="入金済"),1,0)</f>
        <v/>
      </c>
      <c r="AA14" s="11">
        <f>IF($U14="",0,1)</f>
        <v/>
      </c>
    </row>
    <row r="15">
      <c r="A15" s="8" t="n"/>
      <c r="B15" s="9" t="n"/>
      <c r="C15" s="10" t="n"/>
      <c r="D15" s="9" t="n"/>
      <c r="E15" s="9" t="n"/>
      <c r="F15" s="9" t="n"/>
      <c r="G15" s="4" t="n"/>
      <c r="H15" s="5" t="n"/>
      <c r="I15" s="4" t="n"/>
      <c r="J15" s="4" t="n"/>
      <c r="K15" s="4" t="n"/>
      <c r="L15" s="11">
        <f>IF($G15="","",IF($F15="",1,MAX(1,COUNTIF($F$6:$F$505,$F15)-COUNTIFS($F$6:$F$505,$F15,$S$6:$S$505,"見送り"))))</f>
        <v/>
      </c>
      <c r="M15" s="12">
        <f>IF($G15="","",IF($K15="",'設定'!$C$6,$K15)/$L15)</f>
        <v/>
      </c>
      <c r="N15" s="12">
        <f>IF(OR($G15="",$I15=""),"",$I15-$G15-$M15-$J15)</f>
        <v/>
      </c>
      <c r="O15" s="13">
        <f>IF($N15="","",IF($G15&gt;0,$N15/$G15,0))</f>
        <v/>
      </c>
      <c r="P15" s="12">
        <f>IF($G15="","",$G15*$H15)</f>
        <v/>
      </c>
      <c r="Q15" s="12">
        <f>IF($N15="","",$N15-$I15*'設定'!$C$7)</f>
        <v/>
      </c>
      <c r="R15" s="14">
        <f>IF($N15="","",IF(AND($N15&gt;='設定'!$C$4,$O15&gt;='設定'!$C$5),IF($Q15&gt;=0,"仕入れOK","OK・下落に弱い"),"見送り"))</f>
        <v/>
      </c>
      <c r="S15" s="9" t="n"/>
      <c r="T15" s="8" t="n"/>
      <c r="U15" s="4" t="n"/>
      <c r="V15" s="8" t="n"/>
      <c r="W15" s="12">
        <f>IF(OR($G15="",$U15=""),"",$U15-$G15-$M15-$J15)</f>
        <v/>
      </c>
      <c r="X15" s="12">
        <f>IF(OR($I15="",$U15=""),"",$I15-$U15)</f>
        <v/>
      </c>
      <c r="Y15" s="11">
        <f>IF(OR($T15="",$V15=""),"",$V15-$T15)</f>
        <v/>
      </c>
      <c r="Z15" s="11">
        <f>IF(OR($S15="未発送",$S15="発送済",$S15="査定済",$S15="入金済"),1,0)</f>
        <v/>
      </c>
      <c r="AA15" s="11">
        <f>IF($U15="",0,1)</f>
        <v/>
      </c>
    </row>
    <row r="16">
      <c r="A16" s="8" t="n"/>
      <c r="B16" s="9" t="n"/>
      <c r="C16" s="10" t="n"/>
      <c r="D16" s="9" t="n"/>
      <c r="E16" s="9" t="n"/>
      <c r="F16" s="9" t="n"/>
      <c r="G16" s="4" t="n"/>
      <c r="H16" s="5" t="n"/>
      <c r="I16" s="4" t="n"/>
      <c r="J16" s="4" t="n"/>
      <c r="K16" s="4" t="n"/>
      <c r="L16" s="11">
        <f>IF($G16="","",IF($F16="",1,MAX(1,COUNTIF($F$6:$F$505,$F16)-COUNTIFS($F$6:$F$505,$F16,$S$6:$S$505,"見送り"))))</f>
        <v/>
      </c>
      <c r="M16" s="12">
        <f>IF($G16="","",IF($K16="",'設定'!$C$6,$K16)/$L16)</f>
        <v/>
      </c>
      <c r="N16" s="12">
        <f>IF(OR($G16="",$I16=""),"",$I16-$G16-$M16-$J16)</f>
        <v/>
      </c>
      <c r="O16" s="13">
        <f>IF($N16="","",IF($G16&gt;0,$N16/$G16,0))</f>
        <v/>
      </c>
      <c r="P16" s="12">
        <f>IF($G16="","",$G16*$H16)</f>
        <v/>
      </c>
      <c r="Q16" s="12">
        <f>IF($N16="","",$N16-$I16*'設定'!$C$7)</f>
        <v/>
      </c>
      <c r="R16" s="14">
        <f>IF($N16="","",IF(AND($N16&gt;='設定'!$C$4,$O16&gt;='設定'!$C$5),IF($Q16&gt;=0,"仕入れOK","OK・下落に弱い"),"見送り"))</f>
        <v/>
      </c>
      <c r="S16" s="9" t="n"/>
      <c r="T16" s="8" t="n"/>
      <c r="U16" s="4" t="n"/>
      <c r="V16" s="8" t="n"/>
      <c r="W16" s="12">
        <f>IF(OR($G16="",$U16=""),"",$U16-$G16-$M16-$J16)</f>
        <v/>
      </c>
      <c r="X16" s="12">
        <f>IF(OR($I16="",$U16=""),"",$I16-$U16)</f>
        <v/>
      </c>
      <c r="Y16" s="11">
        <f>IF(OR($T16="",$V16=""),"",$V16-$T16)</f>
        <v/>
      </c>
      <c r="Z16" s="11">
        <f>IF(OR($S16="未発送",$S16="発送済",$S16="査定済",$S16="入金済"),1,0)</f>
        <v/>
      </c>
      <c r="AA16" s="11">
        <f>IF($U16="",0,1)</f>
        <v/>
      </c>
    </row>
    <row r="17">
      <c r="A17" s="8" t="n"/>
      <c r="B17" s="9" t="n"/>
      <c r="C17" s="10" t="n"/>
      <c r="D17" s="9" t="n"/>
      <c r="E17" s="9" t="n"/>
      <c r="F17" s="9" t="n"/>
      <c r="G17" s="4" t="n"/>
      <c r="H17" s="5" t="n"/>
      <c r="I17" s="4" t="n"/>
      <c r="J17" s="4" t="n"/>
      <c r="K17" s="4" t="n"/>
      <c r="L17" s="11">
        <f>IF($G17="","",IF($F17="",1,MAX(1,COUNTIF($F$6:$F$505,$F17)-COUNTIFS($F$6:$F$505,$F17,$S$6:$S$505,"見送り"))))</f>
        <v/>
      </c>
      <c r="M17" s="12">
        <f>IF($G17="","",IF($K17="",'設定'!$C$6,$K17)/$L17)</f>
        <v/>
      </c>
      <c r="N17" s="12">
        <f>IF(OR($G17="",$I17=""),"",$I17-$G17-$M17-$J17)</f>
        <v/>
      </c>
      <c r="O17" s="13">
        <f>IF($N17="","",IF($G17&gt;0,$N17/$G17,0))</f>
        <v/>
      </c>
      <c r="P17" s="12">
        <f>IF($G17="","",$G17*$H17)</f>
        <v/>
      </c>
      <c r="Q17" s="12">
        <f>IF($N17="","",$N17-$I17*'設定'!$C$7)</f>
        <v/>
      </c>
      <c r="R17" s="14">
        <f>IF($N17="","",IF(AND($N17&gt;='設定'!$C$4,$O17&gt;='設定'!$C$5),IF($Q17&gt;=0,"仕入れOK","OK・下落に弱い"),"見送り"))</f>
        <v/>
      </c>
      <c r="S17" s="9" t="n"/>
      <c r="T17" s="8" t="n"/>
      <c r="U17" s="4" t="n"/>
      <c r="V17" s="8" t="n"/>
      <c r="W17" s="12">
        <f>IF(OR($G17="",$U17=""),"",$U17-$G17-$M17-$J17)</f>
        <v/>
      </c>
      <c r="X17" s="12">
        <f>IF(OR($I17="",$U17=""),"",$I17-$U17)</f>
        <v/>
      </c>
      <c r="Y17" s="11">
        <f>IF(OR($T17="",$V17=""),"",$V17-$T17)</f>
        <v/>
      </c>
      <c r="Z17" s="11">
        <f>IF(OR($S17="未発送",$S17="発送済",$S17="査定済",$S17="入金済"),1,0)</f>
        <v/>
      </c>
      <c r="AA17" s="11">
        <f>IF($U17="",0,1)</f>
        <v/>
      </c>
    </row>
    <row r="18">
      <c r="A18" s="8" t="n"/>
      <c r="B18" s="9" t="n"/>
      <c r="C18" s="10" t="n"/>
      <c r="D18" s="9" t="n"/>
      <c r="E18" s="9" t="n"/>
      <c r="F18" s="9" t="n"/>
      <c r="G18" s="4" t="n"/>
      <c r="H18" s="5" t="n"/>
      <c r="I18" s="4" t="n"/>
      <c r="J18" s="4" t="n"/>
      <c r="K18" s="4" t="n"/>
      <c r="L18" s="11">
        <f>IF($G18="","",IF($F18="",1,MAX(1,COUNTIF($F$6:$F$505,$F18)-COUNTIFS($F$6:$F$505,$F18,$S$6:$S$505,"見送り"))))</f>
        <v/>
      </c>
      <c r="M18" s="12">
        <f>IF($G18="","",IF($K18="",'設定'!$C$6,$K18)/$L18)</f>
        <v/>
      </c>
      <c r="N18" s="12">
        <f>IF(OR($G18="",$I18=""),"",$I18-$G18-$M18-$J18)</f>
        <v/>
      </c>
      <c r="O18" s="13">
        <f>IF($N18="","",IF($G18&gt;0,$N18/$G18,0))</f>
        <v/>
      </c>
      <c r="P18" s="12">
        <f>IF($G18="","",$G18*$H18)</f>
        <v/>
      </c>
      <c r="Q18" s="12">
        <f>IF($N18="","",$N18-$I18*'設定'!$C$7)</f>
        <v/>
      </c>
      <c r="R18" s="14">
        <f>IF($N18="","",IF(AND($N18&gt;='設定'!$C$4,$O18&gt;='設定'!$C$5),IF($Q18&gt;=0,"仕入れOK","OK・下落に弱い"),"見送り"))</f>
        <v/>
      </c>
      <c r="S18" s="9" t="n"/>
      <c r="T18" s="8" t="n"/>
      <c r="U18" s="4" t="n"/>
      <c r="V18" s="8" t="n"/>
      <c r="W18" s="12">
        <f>IF(OR($G18="",$U18=""),"",$U18-$G18-$M18-$J18)</f>
        <v/>
      </c>
      <c r="X18" s="12">
        <f>IF(OR($I18="",$U18=""),"",$I18-$U18)</f>
        <v/>
      </c>
      <c r="Y18" s="11">
        <f>IF(OR($T18="",$V18=""),"",$V18-$T18)</f>
        <v/>
      </c>
      <c r="Z18" s="11">
        <f>IF(OR($S18="未発送",$S18="発送済",$S18="査定済",$S18="入金済"),1,0)</f>
        <v/>
      </c>
      <c r="AA18" s="11">
        <f>IF($U18="",0,1)</f>
        <v/>
      </c>
    </row>
    <row r="19">
      <c r="A19" s="8" t="n"/>
      <c r="B19" s="9" t="n"/>
      <c r="C19" s="10" t="n"/>
      <c r="D19" s="9" t="n"/>
      <c r="E19" s="9" t="n"/>
      <c r="F19" s="9" t="n"/>
      <c r="G19" s="4" t="n"/>
      <c r="H19" s="5" t="n"/>
      <c r="I19" s="4" t="n"/>
      <c r="J19" s="4" t="n"/>
      <c r="K19" s="4" t="n"/>
      <c r="L19" s="11">
        <f>IF($G19="","",IF($F19="",1,MAX(1,COUNTIF($F$6:$F$505,$F19)-COUNTIFS($F$6:$F$505,$F19,$S$6:$S$505,"見送り"))))</f>
        <v/>
      </c>
      <c r="M19" s="12">
        <f>IF($G19="","",IF($K19="",'設定'!$C$6,$K19)/$L19)</f>
        <v/>
      </c>
      <c r="N19" s="12">
        <f>IF(OR($G19="",$I19=""),"",$I19-$G19-$M19-$J19)</f>
        <v/>
      </c>
      <c r="O19" s="13">
        <f>IF($N19="","",IF($G19&gt;0,$N19/$G19,0))</f>
        <v/>
      </c>
      <c r="P19" s="12">
        <f>IF($G19="","",$G19*$H19)</f>
        <v/>
      </c>
      <c r="Q19" s="12">
        <f>IF($N19="","",$N19-$I19*'設定'!$C$7)</f>
        <v/>
      </c>
      <c r="R19" s="14">
        <f>IF($N19="","",IF(AND($N19&gt;='設定'!$C$4,$O19&gt;='設定'!$C$5),IF($Q19&gt;=0,"仕入れOK","OK・下落に弱い"),"見送り"))</f>
        <v/>
      </c>
      <c r="S19" s="9" t="n"/>
      <c r="T19" s="8" t="n"/>
      <c r="U19" s="4" t="n"/>
      <c r="V19" s="8" t="n"/>
      <c r="W19" s="12">
        <f>IF(OR($G19="",$U19=""),"",$U19-$G19-$M19-$J19)</f>
        <v/>
      </c>
      <c r="X19" s="12">
        <f>IF(OR($I19="",$U19=""),"",$I19-$U19)</f>
        <v/>
      </c>
      <c r="Y19" s="11">
        <f>IF(OR($T19="",$V19=""),"",$V19-$T19)</f>
        <v/>
      </c>
      <c r="Z19" s="11">
        <f>IF(OR($S19="未発送",$S19="発送済",$S19="査定済",$S19="入金済"),1,0)</f>
        <v/>
      </c>
      <c r="AA19" s="11">
        <f>IF($U19="",0,1)</f>
        <v/>
      </c>
    </row>
    <row r="20">
      <c r="A20" s="8" t="n"/>
      <c r="B20" s="9" t="n"/>
      <c r="C20" s="10" t="n"/>
      <c r="D20" s="9" t="n"/>
      <c r="E20" s="9" t="n"/>
      <c r="F20" s="9" t="n"/>
      <c r="G20" s="4" t="n"/>
      <c r="H20" s="5" t="n"/>
      <c r="I20" s="4" t="n"/>
      <c r="J20" s="4" t="n"/>
      <c r="K20" s="4" t="n"/>
      <c r="L20" s="11">
        <f>IF($G20="","",IF($F20="",1,MAX(1,COUNTIF($F$6:$F$505,$F20)-COUNTIFS($F$6:$F$505,$F20,$S$6:$S$505,"見送り"))))</f>
        <v/>
      </c>
      <c r="M20" s="12">
        <f>IF($G20="","",IF($K20="",'設定'!$C$6,$K20)/$L20)</f>
        <v/>
      </c>
      <c r="N20" s="12">
        <f>IF(OR($G20="",$I20=""),"",$I20-$G20-$M20-$J20)</f>
        <v/>
      </c>
      <c r="O20" s="13">
        <f>IF($N20="","",IF($G20&gt;0,$N20/$G20,0))</f>
        <v/>
      </c>
      <c r="P20" s="12">
        <f>IF($G20="","",$G20*$H20)</f>
        <v/>
      </c>
      <c r="Q20" s="12">
        <f>IF($N20="","",$N20-$I20*'設定'!$C$7)</f>
        <v/>
      </c>
      <c r="R20" s="14">
        <f>IF($N20="","",IF(AND($N20&gt;='設定'!$C$4,$O20&gt;='設定'!$C$5),IF($Q20&gt;=0,"仕入れOK","OK・下落に弱い"),"見送り"))</f>
        <v/>
      </c>
      <c r="S20" s="9" t="n"/>
      <c r="T20" s="8" t="n"/>
      <c r="U20" s="4" t="n"/>
      <c r="V20" s="8" t="n"/>
      <c r="W20" s="12">
        <f>IF(OR($G20="",$U20=""),"",$U20-$G20-$M20-$J20)</f>
        <v/>
      </c>
      <c r="X20" s="12">
        <f>IF(OR($I20="",$U20=""),"",$I20-$U20)</f>
        <v/>
      </c>
      <c r="Y20" s="11">
        <f>IF(OR($T20="",$V20=""),"",$V20-$T20)</f>
        <v/>
      </c>
      <c r="Z20" s="11">
        <f>IF(OR($S20="未発送",$S20="発送済",$S20="査定済",$S20="入金済"),1,0)</f>
        <v/>
      </c>
      <c r="AA20" s="11">
        <f>IF($U20="",0,1)</f>
        <v/>
      </c>
    </row>
    <row r="21">
      <c r="A21" s="8" t="n"/>
      <c r="B21" s="9" t="n"/>
      <c r="C21" s="10" t="n"/>
      <c r="D21" s="9" t="n"/>
      <c r="E21" s="9" t="n"/>
      <c r="F21" s="9" t="n"/>
      <c r="G21" s="4" t="n"/>
      <c r="H21" s="5" t="n"/>
      <c r="I21" s="4" t="n"/>
      <c r="J21" s="4" t="n"/>
      <c r="K21" s="4" t="n"/>
      <c r="L21" s="11">
        <f>IF($G21="","",IF($F21="",1,MAX(1,COUNTIF($F$6:$F$505,$F21)-COUNTIFS($F$6:$F$505,$F21,$S$6:$S$505,"見送り"))))</f>
        <v/>
      </c>
      <c r="M21" s="12">
        <f>IF($G21="","",IF($K21="",'設定'!$C$6,$K21)/$L21)</f>
        <v/>
      </c>
      <c r="N21" s="12">
        <f>IF(OR($G21="",$I21=""),"",$I21-$G21-$M21-$J21)</f>
        <v/>
      </c>
      <c r="O21" s="13">
        <f>IF($N21="","",IF($G21&gt;0,$N21/$G21,0))</f>
        <v/>
      </c>
      <c r="P21" s="12">
        <f>IF($G21="","",$G21*$H21)</f>
        <v/>
      </c>
      <c r="Q21" s="12">
        <f>IF($N21="","",$N21-$I21*'設定'!$C$7)</f>
        <v/>
      </c>
      <c r="R21" s="14">
        <f>IF($N21="","",IF(AND($N21&gt;='設定'!$C$4,$O21&gt;='設定'!$C$5),IF($Q21&gt;=0,"仕入れOK","OK・下落に弱い"),"見送り"))</f>
        <v/>
      </c>
      <c r="S21" s="9" t="n"/>
      <c r="T21" s="8" t="n"/>
      <c r="U21" s="4" t="n"/>
      <c r="V21" s="8" t="n"/>
      <c r="W21" s="12">
        <f>IF(OR($G21="",$U21=""),"",$U21-$G21-$M21-$J21)</f>
        <v/>
      </c>
      <c r="X21" s="12">
        <f>IF(OR($I21="",$U21=""),"",$I21-$U21)</f>
        <v/>
      </c>
      <c r="Y21" s="11">
        <f>IF(OR($T21="",$V21=""),"",$V21-$T21)</f>
        <v/>
      </c>
      <c r="Z21" s="11">
        <f>IF(OR($S21="未発送",$S21="発送済",$S21="査定済",$S21="入金済"),1,0)</f>
        <v/>
      </c>
      <c r="AA21" s="11">
        <f>IF($U21="",0,1)</f>
        <v/>
      </c>
    </row>
    <row r="22">
      <c r="A22" s="8" t="n"/>
      <c r="B22" s="9" t="n"/>
      <c r="C22" s="10" t="n"/>
      <c r="D22" s="9" t="n"/>
      <c r="E22" s="9" t="n"/>
      <c r="F22" s="9" t="n"/>
      <c r="G22" s="4" t="n"/>
      <c r="H22" s="5" t="n"/>
      <c r="I22" s="4" t="n"/>
      <c r="J22" s="4" t="n"/>
      <c r="K22" s="4" t="n"/>
      <c r="L22" s="11">
        <f>IF($G22="","",IF($F22="",1,MAX(1,COUNTIF($F$6:$F$505,$F22)-COUNTIFS($F$6:$F$505,$F22,$S$6:$S$505,"見送り"))))</f>
        <v/>
      </c>
      <c r="M22" s="12">
        <f>IF($G22="","",IF($K22="",'設定'!$C$6,$K22)/$L22)</f>
        <v/>
      </c>
      <c r="N22" s="12">
        <f>IF(OR($G22="",$I22=""),"",$I22-$G22-$M22-$J22)</f>
        <v/>
      </c>
      <c r="O22" s="13">
        <f>IF($N22="","",IF($G22&gt;0,$N22/$G22,0))</f>
        <v/>
      </c>
      <c r="P22" s="12">
        <f>IF($G22="","",$G22*$H22)</f>
        <v/>
      </c>
      <c r="Q22" s="12">
        <f>IF($N22="","",$N22-$I22*'設定'!$C$7)</f>
        <v/>
      </c>
      <c r="R22" s="14">
        <f>IF($N22="","",IF(AND($N22&gt;='設定'!$C$4,$O22&gt;='設定'!$C$5),IF($Q22&gt;=0,"仕入れOK","OK・下落に弱い"),"見送り"))</f>
        <v/>
      </c>
      <c r="S22" s="9" t="n"/>
      <c r="T22" s="8" t="n"/>
      <c r="U22" s="4" t="n"/>
      <c r="V22" s="8" t="n"/>
      <c r="W22" s="12">
        <f>IF(OR($G22="",$U22=""),"",$U22-$G22-$M22-$J22)</f>
        <v/>
      </c>
      <c r="X22" s="12">
        <f>IF(OR($I22="",$U22=""),"",$I22-$U22)</f>
        <v/>
      </c>
      <c r="Y22" s="11">
        <f>IF(OR($T22="",$V22=""),"",$V22-$T22)</f>
        <v/>
      </c>
      <c r="Z22" s="11">
        <f>IF(OR($S22="未発送",$S22="発送済",$S22="査定済",$S22="入金済"),1,0)</f>
        <v/>
      </c>
      <c r="AA22" s="11">
        <f>IF($U22="",0,1)</f>
        <v/>
      </c>
    </row>
    <row r="23">
      <c r="A23" s="8" t="n"/>
      <c r="B23" s="9" t="n"/>
      <c r="C23" s="10" t="n"/>
      <c r="D23" s="9" t="n"/>
      <c r="E23" s="9" t="n"/>
      <c r="F23" s="9" t="n"/>
      <c r="G23" s="4" t="n"/>
      <c r="H23" s="5" t="n"/>
      <c r="I23" s="4" t="n"/>
      <c r="J23" s="4" t="n"/>
      <c r="K23" s="4" t="n"/>
      <c r="L23" s="11">
        <f>IF($G23="","",IF($F23="",1,MAX(1,COUNTIF($F$6:$F$505,$F23)-COUNTIFS($F$6:$F$505,$F23,$S$6:$S$505,"見送り"))))</f>
        <v/>
      </c>
      <c r="M23" s="12">
        <f>IF($G23="","",IF($K23="",'設定'!$C$6,$K23)/$L23)</f>
        <v/>
      </c>
      <c r="N23" s="12">
        <f>IF(OR($G23="",$I23=""),"",$I23-$G23-$M23-$J23)</f>
        <v/>
      </c>
      <c r="O23" s="13">
        <f>IF($N23="","",IF($G23&gt;0,$N23/$G23,0))</f>
        <v/>
      </c>
      <c r="P23" s="12">
        <f>IF($G23="","",$G23*$H23)</f>
        <v/>
      </c>
      <c r="Q23" s="12">
        <f>IF($N23="","",$N23-$I23*'設定'!$C$7)</f>
        <v/>
      </c>
      <c r="R23" s="14">
        <f>IF($N23="","",IF(AND($N23&gt;='設定'!$C$4,$O23&gt;='設定'!$C$5),IF($Q23&gt;=0,"仕入れOK","OK・下落に弱い"),"見送り"))</f>
        <v/>
      </c>
      <c r="S23" s="9" t="n"/>
      <c r="T23" s="8" t="n"/>
      <c r="U23" s="4" t="n"/>
      <c r="V23" s="8" t="n"/>
      <c r="W23" s="12">
        <f>IF(OR($G23="",$U23=""),"",$U23-$G23-$M23-$J23)</f>
        <v/>
      </c>
      <c r="X23" s="12">
        <f>IF(OR($I23="",$U23=""),"",$I23-$U23)</f>
        <v/>
      </c>
      <c r="Y23" s="11">
        <f>IF(OR($T23="",$V23=""),"",$V23-$T23)</f>
        <v/>
      </c>
      <c r="Z23" s="11">
        <f>IF(OR($S23="未発送",$S23="発送済",$S23="査定済",$S23="入金済"),1,0)</f>
        <v/>
      </c>
      <c r="AA23" s="11">
        <f>IF($U23="",0,1)</f>
        <v/>
      </c>
    </row>
    <row r="24">
      <c r="A24" s="8" t="n"/>
      <c r="B24" s="9" t="n"/>
      <c r="C24" s="10" t="n"/>
      <c r="D24" s="9" t="n"/>
      <c r="E24" s="9" t="n"/>
      <c r="F24" s="9" t="n"/>
      <c r="G24" s="4" t="n"/>
      <c r="H24" s="5" t="n"/>
      <c r="I24" s="4" t="n"/>
      <c r="J24" s="4" t="n"/>
      <c r="K24" s="4" t="n"/>
      <c r="L24" s="11">
        <f>IF($G24="","",IF($F24="",1,MAX(1,COUNTIF($F$6:$F$505,$F24)-COUNTIFS($F$6:$F$505,$F24,$S$6:$S$505,"見送り"))))</f>
        <v/>
      </c>
      <c r="M24" s="12">
        <f>IF($G24="","",IF($K24="",'設定'!$C$6,$K24)/$L24)</f>
        <v/>
      </c>
      <c r="N24" s="12">
        <f>IF(OR($G24="",$I24=""),"",$I24-$G24-$M24-$J24)</f>
        <v/>
      </c>
      <c r="O24" s="13">
        <f>IF($N24="","",IF($G24&gt;0,$N24/$G24,0))</f>
        <v/>
      </c>
      <c r="P24" s="12">
        <f>IF($G24="","",$G24*$H24)</f>
        <v/>
      </c>
      <c r="Q24" s="12">
        <f>IF($N24="","",$N24-$I24*'設定'!$C$7)</f>
        <v/>
      </c>
      <c r="R24" s="14">
        <f>IF($N24="","",IF(AND($N24&gt;='設定'!$C$4,$O24&gt;='設定'!$C$5),IF($Q24&gt;=0,"仕入れOK","OK・下落に弱い"),"見送り"))</f>
        <v/>
      </c>
      <c r="S24" s="9" t="n"/>
      <c r="T24" s="8" t="n"/>
      <c r="U24" s="4" t="n"/>
      <c r="V24" s="8" t="n"/>
      <c r="W24" s="12">
        <f>IF(OR($G24="",$U24=""),"",$U24-$G24-$M24-$J24)</f>
        <v/>
      </c>
      <c r="X24" s="12">
        <f>IF(OR($I24="",$U24=""),"",$I24-$U24)</f>
        <v/>
      </c>
      <c r="Y24" s="11">
        <f>IF(OR($T24="",$V24=""),"",$V24-$T24)</f>
        <v/>
      </c>
      <c r="Z24" s="11">
        <f>IF(OR($S24="未発送",$S24="発送済",$S24="査定済",$S24="入金済"),1,0)</f>
        <v/>
      </c>
      <c r="AA24" s="11">
        <f>IF($U24="",0,1)</f>
        <v/>
      </c>
    </row>
    <row r="25">
      <c r="A25" s="8" t="n"/>
      <c r="B25" s="9" t="n"/>
      <c r="C25" s="10" t="n"/>
      <c r="D25" s="9" t="n"/>
      <c r="E25" s="9" t="n"/>
      <c r="F25" s="9" t="n"/>
      <c r="G25" s="4" t="n"/>
      <c r="H25" s="5" t="n"/>
      <c r="I25" s="4" t="n"/>
      <c r="J25" s="4" t="n"/>
      <c r="K25" s="4" t="n"/>
      <c r="L25" s="11">
        <f>IF($G25="","",IF($F25="",1,MAX(1,COUNTIF($F$6:$F$505,$F25)-COUNTIFS($F$6:$F$505,$F25,$S$6:$S$505,"見送り"))))</f>
        <v/>
      </c>
      <c r="M25" s="12">
        <f>IF($G25="","",IF($K25="",'設定'!$C$6,$K25)/$L25)</f>
        <v/>
      </c>
      <c r="N25" s="12">
        <f>IF(OR($G25="",$I25=""),"",$I25-$G25-$M25-$J25)</f>
        <v/>
      </c>
      <c r="O25" s="13">
        <f>IF($N25="","",IF($G25&gt;0,$N25/$G25,0))</f>
        <v/>
      </c>
      <c r="P25" s="12">
        <f>IF($G25="","",$G25*$H25)</f>
        <v/>
      </c>
      <c r="Q25" s="12">
        <f>IF($N25="","",$N25-$I25*'設定'!$C$7)</f>
        <v/>
      </c>
      <c r="R25" s="14">
        <f>IF($N25="","",IF(AND($N25&gt;='設定'!$C$4,$O25&gt;='設定'!$C$5),IF($Q25&gt;=0,"仕入れOK","OK・下落に弱い"),"見送り"))</f>
        <v/>
      </c>
      <c r="S25" s="9" t="n"/>
      <c r="T25" s="8" t="n"/>
      <c r="U25" s="4" t="n"/>
      <c r="V25" s="8" t="n"/>
      <c r="W25" s="12">
        <f>IF(OR($G25="",$U25=""),"",$U25-$G25-$M25-$J25)</f>
        <v/>
      </c>
      <c r="X25" s="12">
        <f>IF(OR($I25="",$U25=""),"",$I25-$U25)</f>
        <v/>
      </c>
      <c r="Y25" s="11">
        <f>IF(OR($T25="",$V25=""),"",$V25-$T25)</f>
        <v/>
      </c>
      <c r="Z25" s="11">
        <f>IF(OR($S25="未発送",$S25="発送済",$S25="査定済",$S25="入金済"),1,0)</f>
        <v/>
      </c>
      <c r="AA25" s="11">
        <f>IF($U25="",0,1)</f>
        <v/>
      </c>
    </row>
    <row r="26">
      <c r="A26" s="8" t="n"/>
      <c r="B26" s="9" t="n"/>
      <c r="C26" s="10" t="n"/>
      <c r="D26" s="9" t="n"/>
      <c r="E26" s="9" t="n"/>
      <c r="F26" s="9" t="n"/>
      <c r="G26" s="4" t="n"/>
      <c r="H26" s="5" t="n"/>
      <c r="I26" s="4" t="n"/>
      <c r="J26" s="4" t="n"/>
      <c r="K26" s="4" t="n"/>
      <c r="L26" s="11">
        <f>IF($G26="","",IF($F26="",1,MAX(1,COUNTIF($F$6:$F$505,$F26)-COUNTIFS($F$6:$F$505,$F26,$S$6:$S$505,"見送り"))))</f>
        <v/>
      </c>
      <c r="M26" s="12">
        <f>IF($G26="","",IF($K26="",'設定'!$C$6,$K26)/$L26)</f>
        <v/>
      </c>
      <c r="N26" s="12">
        <f>IF(OR($G26="",$I26=""),"",$I26-$G26-$M26-$J26)</f>
        <v/>
      </c>
      <c r="O26" s="13">
        <f>IF($N26="","",IF($G26&gt;0,$N26/$G26,0))</f>
        <v/>
      </c>
      <c r="P26" s="12">
        <f>IF($G26="","",$G26*$H26)</f>
        <v/>
      </c>
      <c r="Q26" s="12">
        <f>IF($N26="","",$N26-$I26*'設定'!$C$7)</f>
        <v/>
      </c>
      <c r="R26" s="14">
        <f>IF($N26="","",IF(AND($N26&gt;='設定'!$C$4,$O26&gt;='設定'!$C$5),IF($Q26&gt;=0,"仕入れOK","OK・下落に弱い"),"見送り"))</f>
        <v/>
      </c>
      <c r="S26" s="9" t="n"/>
      <c r="T26" s="8" t="n"/>
      <c r="U26" s="4" t="n"/>
      <c r="V26" s="8" t="n"/>
      <c r="W26" s="12">
        <f>IF(OR($G26="",$U26=""),"",$U26-$G26-$M26-$J26)</f>
        <v/>
      </c>
      <c r="X26" s="12">
        <f>IF(OR($I26="",$U26=""),"",$I26-$U26)</f>
        <v/>
      </c>
      <c r="Y26" s="11">
        <f>IF(OR($T26="",$V26=""),"",$V26-$T26)</f>
        <v/>
      </c>
      <c r="Z26" s="11">
        <f>IF(OR($S26="未発送",$S26="発送済",$S26="査定済",$S26="入金済"),1,0)</f>
        <v/>
      </c>
      <c r="AA26" s="11">
        <f>IF($U26="",0,1)</f>
        <v/>
      </c>
    </row>
    <row r="27">
      <c r="A27" s="8" t="n"/>
      <c r="B27" s="9" t="n"/>
      <c r="C27" s="10" t="n"/>
      <c r="D27" s="9" t="n"/>
      <c r="E27" s="9" t="n"/>
      <c r="F27" s="9" t="n"/>
      <c r="G27" s="4" t="n"/>
      <c r="H27" s="5" t="n"/>
      <c r="I27" s="4" t="n"/>
      <c r="J27" s="4" t="n"/>
      <c r="K27" s="4" t="n"/>
      <c r="L27" s="11">
        <f>IF($G27="","",IF($F27="",1,MAX(1,COUNTIF($F$6:$F$505,$F27)-COUNTIFS($F$6:$F$505,$F27,$S$6:$S$505,"見送り"))))</f>
        <v/>
      </c>
      <c r="M27" s="12">
        <f>IF($G27="","",IF($K27="",'設定'!$C$6,$K27)/$L27)</f>
        <v/>
      </c>
      <c r="N27" s="12">
        <f>IF(OR($G27="",$I27=""),"",$I27-$G27-$M27-$J27)</f>
        <v/>
      </c>
      <c r="O27" s="13">
        <f>IF($N27="","",IF($G27&gt;0,$N27/$G27,0))</f>
        <v/>
      </c>
      <c r="P27" s="12">
        <f>IF($G27="","",$G27*$H27)</f>
        <v/>
      </c>
      <c r="Q27" s="12">
        <f>IF($N27="","",$N27-$I27*'設定'!$C$7)</f>
        <v/>
      </c>
      <c r="R27" s="14">
        <f>IF($N27="","",IF(AND($N27&gt;='設定'!$C$4,$O27&gt;='設定'!$C$5),IF($Q27&gt;=0,"仕入れOK","OK・下落に弱い"),"見送り"))</f>
        <v/>
      </c>
      <c r="S27" s="9" t="n"/>
      <c r="T27" s="8" t="n"/>
      <c r="U27" s="4" t="n"/>
      <c r="V27" s="8" t="n"/>
      <c r="W27" s="12">
        <f>IF(OR($G27="",$U27=""),"",$U27-$G27-$M27-$J27)</f>
        <v/>
      </c>
      <c r="X27" s="12">
        <f>IF(OR($I27="",$U27=""),"",$I27-$U27)</f>
        <v/>
      </c>
      <c r="Y27" s="11">
        <f>IF(OR($T27="",$V27=""),"",$V27-$T27)</f>
        <v/>
      </c>
      <c r="Z27" s="11">
        <f>IF(OR($S27="未発送",$S27="発送済",$S27="査定済",$S27="入金済"),1,0)</f>
        <v/>
      </c>
      <c r="AA27" s="11">
        <f>IF($U27="",0,1)</f>
        <v/>
      </c>
    </row>
    <row r="28">
      <c r="A28" s="8" t="n"/>
      <c r="B28" s="9" t="n"/>
      <c r="C28" s="10" t="n"/>
      <c r="D28" s="9" t="n"/>
      <c r="E28" s="9" t="n"/>
      <c r="F28" s="9" t="n"/>
      <c r="G28" s="4" t="n"/>
      <c r="H28" s="5" t="n"/>
      <c r="I28" s="4" t="n"/>
      <c r="J28" s="4" t="n"/>
      <c r="K28" s="4" t="n"/>
      <c r="L28" s="11">
        <f>IF($G28="","",IF($F28="",1,MAX(1,COUNTIF($F$6:$F$505,$F28)-COUNTIFS($F$6:$F$505,$F28,$S$6:$S$505,"見送り"))))</f>
        <v/>
      </c>
      <c r="M28" s="12">
        <f>IF($G28="","",IF($K28="",'設定'!$C$6,$K28)/$L28)</f>
        <v/>
      </c>
      <c r="N28" s="12">
        <f>IF(OR($G28="",$I28=""),"",$I28-$G28-$M28-$J28)</f>
        <v/>
      </c>
      <c r="O28" s="13">
        <f>IF($N28="","",IF($G28&gt;0,$N28/$G28,0))</f>
        <v/>
      </c>
      <c r="P28" s="12">
        <f>IF($G28="","",$G28*$H28)</f>
        <v/>
      </c>
      <c r="Q28" s="12">
        <f>IF($N28="","",$N28-$I28*'設定'!$C$7)</f>
        <v/>
      </c>
      <c r="R28" s="14">
        <f>IF($N28="","",IF(AND($N28&gt;='設定'!$C$4,$O28&gt;='設定'!$C$5),IF($Q28&gt;=0,"仕入れOK","OK・下落に弱い"),"見送り"))</f>
        <v/>
      </c>
      <c r="S28" s="9" t="n"/>
      <c r="T28" s="8" t="n"/>
      <c r="U28" s="4" t="n"/>
      <c r="V28" s="8" t="n"/>
      <c r="W28" s="12">
        <f>IF(OR($G28="",$U28=""),"",$U28-$G28-$M28-$J28)</f>
        <v/>
      </c>
      <c r="X28" s="12">
        <f>IF(OR($I28="",$U28=""),"",$I28-$U28)</f>
        <v/>
      </c>
      <c r="Y28" s="11">
        <f>IF(OR($T28="",$V28=""),"",$V28-$T28)</f>
        <v/>
      </c>
      <c r="Z28" s="11">
        <f>IF(OR($S28="未発送",$S28="発送済",$S28="査定済",$S28="入金済"),1,0)</f>
        <v/>
      </c>
      <c r="AA28" s="11">
        <f>IF($U28="",0,1)</f>
        <v/>
      </c>
    </row>
    <row r="29">
      <c r="A29" s="8" t="n"/>
      <c r="B29" s="9" t="n"/>
      <c r="C29" s="10" t="n"/>
      <c r="D29" s="9" t="n"/>
      <c r="E29" s="9" t="n"/>
      <c r="F29" s="9" t="n"/>
      <c r="G29" s="4" t="n"/>
      <c r="H29" s="5" t="n"/>
      <c r="I29" s="4" t="n"/>
      <c r="J29" s="4" t="n"/>
      <c r="K29" s="4" t="n"/>
      <c r="L29" s="11">
        <f>IF($G29="","",IF($F29="",1,MAX(1,COUNTIF($F$6:$F$505,$F29)-COUNTIFS($F$6:$F$505,$F29,$S$6:$S$505,"見送り"))))</f>
        <v/>
      </c>
      <c r="M29" s="12">
        <f>IF($G29="","",IF($K29="",'設定'!$C$6,$K29)/$L29)</f>
        <v/>
      </c>
      <c r="N29" s="12">
        <f>IF(OR($G29="",$I29=""),"",$I29-$G29-$M29-$J29)</f>
        <v/>
      </c>
      <c r="O29" s="13">
        <f>IF($N29="","",IF($G29&gt;0,$N29/$G29,0))</f>
        <v/>
      </c>
      <c r="P29" s="12">
        <f>IF($G29="","",$G29*$H29)</f>
        <v/>
      </c>
      <c r="Q29" s="12">
        <f>IF($N29="","",$N29-$I29*'設定'!$C$7)</f>
        <v/>
      </c>
      <c r="R29" s="14">
        <f>IF($N29="","",IF(AND($N29&gt;='設定'!$C$4,$O29&gt;='設定'!$C$5),IF($Q29&gt;=0,"仕入れOK","OK・下落に弱い"),"見送り"))</f>
        <v/>
      </c>
      <c r="S29" s="9" t="n"/>
      <c r="T29" s="8" t="n"/>
      <c r="U29" s="4" t="n"/>
      <c r="V29" s="8" t="n"/>
      <c r="W29" s="12">
        <f>IF(OR($G29="",$U29=""),"",$U29-$G29-$M29-$J29)</f>
        <v/>
      </c>
      <c r="X29" s="12">
        <f>IF(OR($I29="",$U29=""),"",$I29-$U29)</f>
        <v/>
      </c>
      <c r="Y29" s="11">
        <f>IF(OR($T29="",$V29=""),"",$V29-$T29)</f>
        <v/>
      </c>
      <c r="Z29" s="11">
        <f>IF(OR($S29="未発送",$S29="発送済",$S29="査定済",$S29="入金済"),1,0)</f>
        <v/>
      </c>
      <c r="AA29" s="11">
        <f>IF($U29="",0,1)</f>
        <v/>
      </c>
    </row>
    <row r="30">
      <c r="A30" s="8" t="n"/>
      <c r="B30" s="9" t="n"/>
      <c r="C30" s="10" t="n"/>
      <c r="D30" s="9" t="n"/>
      <c r="E30" s="9" t="n"/>
      <c r="F30" s="9" t="n"/>
      <c r="G30" s="4" t="n"/>
      <c r="H30" s="5" t="n"/>
      <c r="I30" s="4" t="n"/>
      <c r="J30" s="4" t="n"/>
      <c r="K30" s="4" t="n"/>
      <c r="L30" s="11">
        <f>IF($G30="","",IF($F30="",1,MAX(1,COUNTIF($F$6:$F$505,$F30)-COUNTIFS($F$6:$F$505,$F30,$S$6:$S$505,"見送り"))))</f>
        <v/>
      </c>
      <c r="M30" s="12">
        <f>IF($G30="","",IF($K30="",'設定'!$C$6,$K30)/$L30)</f>
        <v/>
      </c>
      <c r="N30" s="12">
        <f>IF(OR($G30="",$I30=""),"",$I30-$G30-$M30-$J30)</f>
        <v/>
      </c>
      <c r="O30" s="13">
        <f>IF($N30="","",IF($G30&gt;0,$N30/$G30,0))</f>
        <v/>
      </c>
      <c r="P30" s="12">
        <f>IF($G30="","",$G30*$H30)</f>
        <v/>
      </c>
      <c r="Q30" s="12">
        <f>IF($N30="","",$N30-$I30*'設定'!$C$7)</f>
        <v/>
      </c>
      <c r="R30" s="14">
        <f>IF($N30="","",IF(AND($N30&gt;='設定'!$C$4,$O30&gt;='設定'!$C$5),IF($Q30&gt;=0,"仕入れOK","OK・下落に弱い"),"見送り"))</f>
        <v/>
      </c>
      <c r="S30" s="9" t="n"/>
      <c r="T30" s="8" t="n"/>
      <c r="U30" s="4" t="n"/>
      <c r="V30" s="8" t="n"/>
      <c r="W30" s="12">
        <f>IF(OR($G30="",$U30=""),"",$U30-$G30-$M30-$J30)</f>
        <v/>
      </c>
      <c r="X30" s="12">
        <f>IF(OR($I30="",$U30=""),"",$I30-$U30)</f>
        <v/>
      </c>
      <c r="Y30" s="11">
        <f>IF(OR($T30="",$V30=""),"",$V30-$T30)</f>
        <v/>
      </c>
      <c r="Z30" s="11">
        <f>IF(OR($S30="未発送",$S30="発送済",$S30="査定済",$S30="入金済"),1,0)</f>
        <v/>
      </c>
      <c r="AA30" s="11">
        <f>IF($U30="",0,1)</f>
        <v/>
      </c>
    </row>
    <row r="31">
      <c r="A31" s="8" t="n"/>
      <c r="B31" s="9" t="n"/>
      <c r="C31" s="10" t="n"/>
      <c r="D31" s="9" t="n"/>
      <c r="E31" s="9" t="n"/>
      <c r="F31" s="9" t="n"/>
      <c r="G31" s="4" t="n"/>
      <c r="H31" s="5" t="n"/>
      <c r="I31" s="4" t="n"/>
      <c r="J31" s="4" t="n"/>
      <c r="K31" s="4" t="n"/>
      <c r="L31" s="11">
        <f>IF($G31="","",IF($F31="",1,MAX(1,COUNTIF($F$6:$F$505,$F31)-COUNTIFS($F$6:$F$505,$F31,$S$6:$S$505,"見送り"))))</f>
        <v/>
      </c>
      <c r="M31" s="12">
        <f>IF($G31="","",IF($K31="",'設定'!$C$6,$K31)/$L31)</f>
        <v/>
      </c>
      <c r="N31" s="12">
        <f>IF(OR($G31="",$I31=""),"",$I31-$G31-$M31-$J31)</f>
        <v/>
      </c>
      <c r="O31" s="13">
        <f>IF($N31="","",IF($G31&gt;0,$N31/$G31,0))</f>
        <v/>
      </c>
      <c r="P31" s="12">
        <f>IF($G31="","",$G31*$H31)</f>
        <v/>
      </c>
      <c r="Q31" s="12">
        <f>IF($N31="","",$N31-$I31*'設定'!$C$7)</f>
        <v/>
      </c>
      <c r="R31" s="14">
        <f>IF($N31="","",IF(AND($N31&gt;='設定'!$C$4,$O31&gt;='設定'!$C$5),IF($Q31&gt;=0,"仕入れOK","OK・下落に弱い"),"見送り"))</f>
        <v/>
      </c>
      <c r="S31" s="9" t="n"/>
      <c r="T31" s="8" t="n"/>
      <c r="U31" s="4" t="n"/>
      <c r="V31" s="8" t="n"/>
      <c r="W31" s="12">
        <f>IF(OR($G31="",$U31=""),"",$U31-$G31-$M31-$J31)</f>
        <v/>
      </c>
      <c r="X31" s="12">
        <f>IF(OR($I31="",$U31=""),"",$I31-$U31)</f>
        <v/>
      </c>
      <c r="Y31" s="11">
        <f>IF(OR($T31="",$V31=""),"",$V31-$T31)</f>
        <v/>
      </c>
      <c r="Z31" s="11">
        <f>IF(OR($S31="未発送",$S31="発送済",$S31="査定済",$S31="入金済"),1,0)</f>
        <v/>
      </c>
      <c r="AA31" s="11">
        <f>IF($U31="",0,1)</f>
        <v/>
      </c>
    </row>
    <row r="32">
      <c r="A32" s="8" t="n"/>
      <c r="B32" s="9" t="n"/>
      <c r="C32" s="10" t="n"/>
      <c r="D32" s="9" t="n"/>
      <c r="E32" s="9" t="n"/>
      <c r="F32" s="9" t="n"/>
      <c r="G32" s="4" t="n"/>
      <c r="H32" s="5" t="n"/>
      <c r="I32" s="4" t="n"/>
      <c r="J32" s="4" t="n"/>
      <c r="K32" s="4" t="n"/>
      <c r="L32" s="11">
        <f>IF($G32="","",IF($F32="",1,MAX(1,COUNTIF($F$6:$F$505,$F32)-COUNTIFS($F$6:$F$505,$F32,$S$6:$S$505,"見送り"))))</f>
        <v/>
      </c>
      <c r="M32" s="12">
        <f>IF($G32="","",IF($K32="",'設定'!$C$6,$K32)/$L32)</f>
        <v/>
      </c>
      <c r="N32" s="12">
        <f>IF(OR($G32="",$I32=""),"",$I32-$G32-$M32-$J32)</f>
        <v/>
      </c>
      <c r="O32" s="13">
        <f>IF($N32="","",IF($G32&gt;0,$N32/$G32,0))</f>
        <v/>
      </c>
      <c r="P32" s="12">
        <f>IF($G32="","",$G32*$H32)</f>
        <v/>
      </c>
      <c r="Q32" s="12">
        <f>IF($N32="","",$N32-$I32*'設定'!$C$7)</f>
        <v/>
      </c>
      <c r="R32" s="14">
        <f>IF($N32="","",IF(AND($N32&gt;='設定'!$C$4,$O32&gt;='設定'!$C$5),IF($Q32&gt;=0,"仕入れOK","OK・下落に弱い"),"見送り"))</f>
        <v/>
      </c>
      <c r="S32" s="9" t="n"/>
      <c r="T32" s="8" t="n"/>
      <c r="U32" s="4" t="n"/>
      <c r="V32" s="8" t="n"/>
      <c r="W32" s="12">
        <f>IF(OR($G32="",$U32=""),"",$U32-$G32-$M32-$J32)</f>
        <v/>
      </c>
      <c r="X32" s="12">
        <f>IF(OR($I32="",$U32=""),"",$I32-$U32)</f>
        <v/>
      </c>
      <c r="Y32" s="11">
        <f>IF(OR($T32="",$V32=""),"",$V32-$T32)</f>
        <v/>
      </c>
      <c r="Z32" s="11">
        <f>IF(OR($S32="未発送",$S32="発送済",$S32="査定済",$S32="入金済"),1,0)</f>
        <v/>
      </c>
      <c r="AA32" s="11">
        <f>IF($U32="",0,1)</f>
        <v/>
      </c>
    </row>
    <row r="33">
      <c r="A33" s="8" t="n"/>
      <c r="B33" s="9" t="n"/>
      <c r="C33" s="10" t="n"/>
      <c r="D33" s="9" t="n"/>
      <c r="E33" s="9" t="n"/>
      <c r="F33" s="9" t="n"/>
      <c r="G33" s="4" t="n"/>
      <c r="H33" s="5" t="n"/>
      <c r="I33" s="4" t="n"/>
      <c r="J33" s="4" t="n"/>
      <c r="K33" s="4" t="n"/>
      <c r="L33" s="11">
        <f>IF($G33="","",IF($F33="",1,MAX(1,COUNTIF($F$6:$F$505,$F33)-COUNTIFS($F$6:$F$505,$F33,$S$6:$S$505,"見送り"))))</f>
        <v/>
      </c>
      <c r="M33" s="12">
        <f>IF($G33="","",IF($K33="",'設定'!$C$6,$K33)/$L33)</f>
        <v/>
      </c>
      <c r="N33" s="12">
        <f>IF(OR($G33="",$I33=""),"",$I33-$G33-$M33-$J33)</f>
        <v/>
      </c>
      <c r="O33" s="13">
        <f>IF($N33="","",IF($G33&gt;0,$N33/$G33,0))</f>
        <v/>
      </c>
      <c r="P33" s="12">
        <f>IF($G33="","",$G33*$H33)</f>
        <v/>
      </c>
      <c r="Q33" s="12">
        <f>IF($N33="","",$N33-$I33*'設定'!$C$7)</f>
        <v/>
      </c>
      <c r="R33" s="14">
        <f>IF($N33="","",IF(AND($N33&gt;='設定'!$C$4,$O33&gt;='設定'!$C$5),IF($Q33&gt;=0,"仕入れOK","OK・下落に弱い"),"見送り"))</f>
        <v/>
      </c>
      <c r="S33" s="9" t="n"/>
      <c r="T33" s="8" t="n"/>
      <c r="U33" s="4" t="n"/>
      <c r="V33" s="8" t="n"/>
      <c r="W33" s="12">
        <f>IF(OR($G33="",$U33=""),"",$U33-$G33-$M33-$J33)</f>
        <v/>
      </c>
      <c r="X33" s="12">
        <f>IF(OR($I33="",$U33=""),"",$I33-$U33)</f>
        <v/>
      </c>
      <c r="Y33" s="11">
        <f>IF(OR($T33="",$V33=""),"",$V33-$T33)</f>
        <v/>
      </c>
      <c r="Z33" s="11">
        <f>IF(OR($S33="未発送",$S33="発送済",$S33="査定済",$S33="入金済"),1,0)</f>
        <v/>
      </c>
      <c r="AA33" s="11">
        <f>IF($U33="",0,1)</f>
        <v/>
      </c>
    </row>
    <row r="34">
      <c r="A34" s="8" t="n"/>
      <c r="B34" s="9" t="n"/>
      <c r="C34" s="10" t="n"/>
      <c r="D34" s="9" t="n"/>
      <c r="E34" s="9" t="n"/>
      <c r="F34" s="9" t="n"/>
      <c r="G34" s="4" t="n"/>
      <c r="H34" s="5" t="n"/>
      <c r="I34" s="4" t="n"/>
      <c r="J34" s="4" t="n"/>
      <c r="K34" s="4" t="n"/>
      <c r="L34" s="11">
        <f>IF($G34="","",IF($F34="",1,MAX(1,COUNTIF($F$6:$F$505,$F34)-COUNTIFS($F$6:$F$505,$F34,$S$6:$S$505,"見送り"))))</f>
        <v/>
      </c>
      <c r="M34" s="12">
        <f>IF($G34="","",IF($K34="",'設定'!$C$6,$K34)/$L34)</f>
        <v/>
      </c>
      <c r="N34" s="12">
        <f>IF(OR($G34="",$I34=""),"",$I34-$G34-$M34-$J34)</f>
        <v/>
      </c>
      <c r="O34" s="13">
        <f>IF($N34="","",IF($G34&gt;0,$N34/$G34,0))</f>
        <v/>
      </c>
      <c r="P34" s="12">
        <f>IF($G34="","",$G34*$H34)</f>
        <v/>
      </c>
      <c r="Q34" s="12">
        <f>IF($N34="","",$N34-$I34*'設定'!$C$7)</f>
        <v/>
      </c>
      <c r="R34" s="14">
        <f>IF($N34="","",IF(AND($N34&gt;='設定'!$C$4,$O34&gt;='設定'!$C$5),IF($Q34&gt;=0,"仕入れOK","OK・下落に弱い"),"見送り"))</f>
        <v/>
      </c>
      <c r="S34" s="9" t="n"/>
      <c r="T34" s="8" t="n"/>
      <c r="U34" s="4" t="n"/>
      <c r="V34" s="8" t="n"/>
      <c r="W34" s="12">
        <f>IF(OR($G34="",$U34=""),"",$U34-$G34-$M34-$J34)</f>
        <v/>
      </c>
      <c r="X34" s="12">
        <f>IF(OR($I34="",$U34=""),"",$I34-$U34)</f>
        <v/>
      </c>
      <c r="Y34" s="11">
        <f>IF(OR($T34="",$V34=""),"",$V34-$T34)</f>
        <v/>
      </c>
      <c r="Z34" s="11">
        <f>IF(OR($S34="未発送",$S34="発送済",$S34="査定済",$S34="入金済"),1,0)</f>
        <v/>
      </c>
      <c r="AA34" s="11">
        <f>IF($U34="",0,1)</f>
        <v/>
      </c>
    </row>
    <row r="35">
      <c r="A35" s="8" t="n"/>
      <c r="B35" s="9" t="n"/>
      <c r="C35" s="10" t="n"/>
      <c r="D35" s="9" t="n"/>
      <c r="E35" s="9" t="n"/>
      <c r="F35" s="9" t="n"/>
      <c r="G35" s="4" t="n"/>
      <c r="H35" s="5" t="n"/>
      <c r="I35" s="4" t="n"/>
      <c r="J35" s="4" t="n"/>
      <c r="K35" s="4" t="n"/>
      <c r="L35" s="11">
        <f>IF($G35="","",IF($F35="",1,MAX(1,COUNTIF($F$6:$F$505,$F35)-COUNTIFS($F$6:$F$505,$F35,$S$6:$S$505,"見送り"))))</f>
        <v/>
      </c>
      <c r="M35" s="12">
        <f>IF($G35="","",IF($K35="",'設定'!$C$6,$K35)/$L35)</f>
        <v/>
      </c>
      <c r="N35" s="12">
        <f>IF(OR($G35="",$I35=""),"",$I35-$G35-$M35-$J35)</f>
        <v/>
      </c>
      <c r="O35" s="13">
        <f>IF($N35="","",IF($G35&gt;0,$N35/$G35,0))</f>
        <v/>
      </c>
      <c r="P35" s="12">
        <f>IF($G35="","",$G35*$H35)</f>
        <v/>
      </c>
      <c r="Q35" s="12">
        <f>IF($N35="","",$N35-$I35*'設定'!$C$7)</f>
        <v/>
      </c>
      <c r="R35" s="14">
        <f>IF($N35="","",IF(AND($N35&gt;='設定'!$C$4,$O35&gt;='設定'!$C$5),IF($Q35&gt;=0,"仕入れOK","OK・下落に弱い"),"見送り"))</f>
        <v/>
      </c>
      <c r="S35" s="9" t="n"/>
      <c r="T35" s="8" t="n"/>
      <c r="U35" s="4" t="n"/>
      <c r="V35" s="8" t="n"/>
      <c r="W35" s="12">
        <f>IF(OR($G35="",$U35=""),"",$U35-$G35-$M35-$J35)</f>
        <v/>
      </c>
      <c r="X35" s="12">
        <f>IF(OR($I35="",$U35=""),"",$I35-$U35)</f>
        <v/>
      </c>
      <c r="Y35" s="11">
        <f>IF(OR($T35="",$V35=""),"",$V35-$T35)</f>
        <v/>
      </c>
      <c r="Z35" s="11">
        <f>IF(OR($S35="未発送",$S35="発送済",$S35="査定済",$S35="入金済"),1,0)</f>
        <v/>
      </c>
      <c r="AA35" s="11">
        <f>IF($U35="",0,1)</f>
        <v/>
      </c>
    </row>
    <row r="36">
      <c r="A36" s="8" t="n"/>
      <c r="B36" s="9" t="n"/>
      <c r="C36" s="10" t="n"/>
      <c r="D36" s="9" t="n"/>
      <c r="E36" s="9" t="n"/>
      <c r="F36" s="9" t="n"/>
      <c r="G36" s="4" t="n"/>
      <c r="H36" s="5" t="n"/>
      <c r="I36" s="4" t="n"/>
      <c r="J36" s="4" t="n"/>
      <c r="K36" s="4" t="n"/>
      <c r="L36" s="11">
        <f>IF($G36="","",IF($F36="",1,MAX(1,COUNTIF($F$6:$F$505,$F36)-COUNTIFS($F$6:$F$505,$F36,$S$6:$S$505,"見送り"))))</f>
        <v/>
      </c>
      <c r="M36" s="12">
        <f>IF($G36="","",IF($K36="",'設定'!$C$6,$K36)/$L36)</f>
        <v/>
      </c>
      <c r="N36" s="12">
        <f>IF(OR($G36="",$I36=""),"",$I36-$G36-$M36-$J36)</f>
        <v/>
      </c>
      <c r="O36" s="13">
        <f>IF($N36="","",IF($G36&gt;0,$N36/$G36,0))</f>
        <v/>
      </c>
      <c r="P36" s="12">
        <f>IF($G36="","",$G36*$H36)</f>
        <v/>
      </c>
      <c r="Q36" s="12">
        <f>IF($N36="","",$N36-$I36*'設定'!$C$7)</f>
        <v/>
      </c>
      <c r="R36" s="14">
        <f>IF($N36="","",IF(AND($N36&gt;='設定'!$C$4,$O36&gt;='設定'!$C$5),IF($Q36&gt;=0,"仕入れOK","OK・下落に弱い"),"見送り"))</f>
        <v/>
      </c>
      <c r="S36" s="9" t="n"/>
      <c r="T36" s="8" t="n"/>
      <c r="U36" s="4" t="n"/>
      <c r="V36" s="8" t="n"/>
      <c r="W36" s="12">
        <f>IF(OR($G36="",$U36=""),"",$U36-$G36-$M36-$J36)</f>
        <v/>
      </c>
      <c r="X36" s="12">
        <f>IF(OR($I36="",$U36=""),"",$I36-$U36)</f>
        <v/>
      </c>
      <c r="Y36" s="11">
        <f>IF(OR($T36="",$V36=""),"",$V36-$T36)</f>
        <v/>
      </c>
      <c r="Z36" s="11">
        <f>IF(OR($S36="未発送",$S36="発送済",$S36="査定済",$S36="入金済"),1,0)</f>
        <v/>
      </c>
      <c r="AA36" s="11">
        <f>IF($U36="",0,1)</f>
        <v/>
      </c>
    </row>
    <row r="37">
      <c r="A37" s="8" t="n"/>
      <c r="B37" s="9" t="n"/>
      <c r="C37" s="10" t="n"/>
      <c r="D37" s="9" t="n"/>
      <c r="E37" s="9" t="n"/>
      <c r="F37" s="9" t="n"/>
      <c r="G37" s="4" t="n"/>
      <c r="H37" s="5" t="n"/>
      <c r="I37" s="4" t="n"/>
      <c r="J37" s="4" t="n"/>
      <c r="K37" s="4" t="n"/>
      <c r="L37" s="11">
        <f>IF($G37="","",IF($F37="",1,MAX(1,COUNTIF($F$6:$F$505,$F37)-COUNTIFS($F$6:$F$505,$F37,$S$6:$S$505,"見送り"))))</f>
        <v/>
      </c>
      <c r="M37" s="12">
        <f>IF($G37="","",IF($K37="",'設定'!$C$6,$K37)/$L37)</f>
        <v/>
      </c>
      <c r="N37" s="12">
        <f>IF(OR($G37="",$I37=""),"",$I37-$G37-$M37-$J37)</f>
        <v/>
      </c>
      <c r="O37" s="13">
        <f>IF($N37="","",IF($G37&gt;0,$N37/$G37,0))</f>
        <v/>
      </c>
      <c r="P37" s="12">
        <f>IF($G37="","",$G37*$H37)</f>
        <v/>
      </c>
      <c r="Q37" s="12">
        <f>IF($N37="","",$N37-$I37*'設定'!$C$7)</f>
        <v/>
      </c>
      <c r="R37" s="14">
        <f>IF($N37="","",IF(AND($N37&gt;='設定'!$C$4,$O37&gt;='設定'!$C$5),IF($Q37&gt;=0,"仕入れOK","OK・下落に弱い"),"見送り"))</f>
        <v/>
      </c>
      <c r="S37" s="9" t="n"/>
      <c r="T37" s="8" t="n"/>
      <c r="U37" s="4" t="n"/>
      <c r="V37" s="8" t="n"/>
      <c r="W37" s="12">
        <f>IF(OR($G37="",$U37=""),"",$U37-$G37-$M37-$J37)</f>
        <v/>
      </c>
      <c r="X37" s="12">
        <f>IF(OR($I37="",$U37=""),"",$I37-$U37)</f>
        <v/>
      </c>
      <c r="Y37" s="11">
        <f>IF(OR($T37="",$V37=""),"",$V37-$T37)</f>
        <v/>
      </c>
      <c r="Z37" s="11">
        <f>IF(OR($S37="未発送",$S37="発送済",$S37="査定済",$S37="入金済"),1,0)</f>
        <v/>
      </c>
      <c r="AA37" s="11">
        <f>IF($U37="",0,1)</f>
        <v/>
      </c>
    </row>
    <row r="38">
      <c r="A38" s="8" t="n"/>
      <c r="B38" s="9" t="n"/>
      <c r="C38" s="10" t="n"/>
      <c r="D38" s="9" t="n"/>
      <c r="E38" s="9" t="n"/>
      <c r="F38" s="9" t="n"/>
      <c r="G38" s="4" t="n"/>
      <c r="H38" s="5" t="n"/>
      <c r="I38" s="4" t="n"/>
      <c r="J38" s="4" t="n"/>
      <c r="K38" s="4" t="n"/>
      <c r="L38" s="11">
        <f>IF($G38="","",IF($F38="",1,MAX(1,COUNTIF($F$6:$F$505,$F38)-COUNTIFS($F$6:$F$505,$F38,$S$6:$S$505,"見送り"))))</f>
        <v/>
      </c>
      <c r="M38" s="12">
        <f>IF($G38="","",IF($K38="",'設定'!$C$6,$K38)/$L38)</f>
        <v/>
      </c>
      <c r="N38" s="12">
        <f>IF(OR($G38="",$I38=""),"",$I38-$G38-$M38-$J38)</f>
        <v/>
      </c>
      <c r="O38" s="13">
        <f>IF($N38="","",IF($G38&gt;0,$N38/$G38,0))</f>
        <v/>
      </c>
      <c r="P38" s="12">
        <f>IF($G38="","",$G38*$H38)</f>
        <v/>
      </c>
      <c r="Q38" s="12">
        <f>IF($N38="","",$N38-$I38*'設定'!$C$7)</f>
        <v/>
      </c>
      <c r="R38" s="14">
        <f>IF($N38="","",IF(AND($N38&gt;='設定'!$C$4,$O38&gt;='設定'!$C$5),IF($Q38&gt;=0,"仕入れOK","OK・下落に弱い"),"見送り"))</f>
        <v/>
      </c>
      <c r="S38" s="9" t="n"/>
      <c r="T38" s="8" t="n"/>
      <c r="U38" s="4" t="n"/>
      <c r="V38" s="8" t="n"/>
      <c r="W38" s="12">
        <f>IF(OR($G38="",$U38=""),"",$U38-$G38-$M38-$J38)</f>
        <v/>
      </c>
      <c r="X38" s="12">
        <f>IF(OR($I38="",$U38=""),"",$I38-$U38)</f>
        <v/>
      </c>
      <c r="Y38" s="11">
        <f>IF(OR($T38="",$V38=""),"",$V38-$T38)</f>
        <v/>
      </c>
      <c r="Z38" s="11">
        <f>IF(OR($S38="未発送",$S38="発送済",$S38="査定済",$S38="入金済"),1,0)</f>
        <v/>
      </c>
      <c r="AA38" s="11">
        <f>IF($U38="",0,1)</f>
        <v/>
      </c>
    </row>
    <row r="39">
      <c r="A39" s="8" t="n"/>
      <c r="B39" s="9" t="n"/>
      <c r="C39" s="10" t="n"/>
      <c r="D39" s="9" t="n"/>
      <c r="E39" s="9" t="n"/>
      <c r="F39" s="9" t="n"/>
      <c r="G39" s="4" t="n"/>
      <c r="H39" s="5" t="n"/>
      <c r="I39" s="4" t="n"/>
      <c r="J39" s="4" t="n"/>
      <c r="K39" s="4" t="n"/>
      <c r="L39" s="11">
        <f>IF($G39="","",IF($F39="",1,MAX(1,COUNTIF($F$6:$F$505,$F39)-COUNTIFS($F$6:$F$505,$F39,$S$6:$S$505,"見送り"))))</f>
        <v/>
      </c>
      <c r="M39" s="12">
        <f>IF($G39="","",IF($K39="",'設定'!$C$6,$K39)/$L39)</f>
        <v/>
      </c>
      <c r="N39" s="12">
        <f>IF(OR($G39="",$I39=""),"",$I39-$G39-$M39-$J39)</f>
        <v/>
      </c>
      <c r="O39" s="13">
        <f>IF($N39="","",IF($G39&gt;0,$N39/$G39,0))</f>
        <v/>
      </c>
      <c r="P39" s="12">
        <f>IF($G39="","",$G39*$H39)</f>
        <v/>
      </c>
      <c r="Q39" s="12">
        <f>IF($N39="","",$N39-$I39*'設定'!$C$7)</f>
        <v/>
      </c>
      <c r="R39" s="14">
        <f>IF($N39="","",IF(AND($N39&gt;='設定'!$C$4,$O39&gt;='設定'!$C$5),IF($Q39&gt;=0,"仕入れOK","OK・下落に弱い"),"見送り"))</f>
        <v/>
      </c>
      <c r="S39" s="9" t="n"/>
      <c r="T39" s="8" t="n"/>
      <c r="U39" s="4" t="n"/>
      <c r="V39" s="8" t="n"/>
      <c r="W39" s="12">
        <f>IF(OR($G39="",$U39=""),"",$U39-$G39-$M39-$J39)</f>
        <v/>
      </c>
      <c r="X39" s="12">
        <f>IF(OR($I39="",$U39=""),"",$I39-$U39)</f>
        <v/>
      </c>
      <c r="Y39" s="11">
        <f>IF(OR($T39="",$V39=""),"",$V39-$T39)</f>
        <v/>
      </c>
      <c r="Z39" s="11">
        <f>IF(OR($S39="未発送",$S39="発送済",$S39="査定済",$S39="入金済"),1,0)</f>
        <v/>
      </c>
      <c r="AA39" s="11">
        <f>IF($U39="",0,1)</f>
        <v/>
      </c>
    </row>
    <row r="40">
      <c r="A40" s="8" t="n"/>
      <c r="B40" s="9" t="n"/>
      <c r="C40" s="10" t="n"/>
      <c r="D40" s="9" t="n"/>
      <c r="E40" s="9" t="n"/>
      <c r="F40" s="9" t="n"/>
      <c r="G40" s="4" t="n"/>
      <c r="H40" s="5" t="n"/>
      <c r="I40" s="4" t="n"/>
      <c r="J40" s="4" t="n"/>
      <c r="K40" s="4" t="n"/>
      <c r="L40" s="11">
        <f>IF($G40="","",IF($F40="",1,MAX(1,COUNTIF($F$6:$F$505,$F40)-COUNTIFS($F$6:$F$505,$F40,$S$6:$S$505,"見送り"))))</f>
        <v/>
      </c>
      <c r="M40" s="12">
        <f>IF($G40="","",IF($K40="",'設定'!$C$6,$K40)/$L40)</f>
        <v/>
      </c>
      <c r="N40" s="12">
        <f>IF(OR($G40="",$I40=""),"",$I40-$G40-$M40-$J40)</f>
        <v/>
      </c>
      <c r="O40" s="13">
        <f>IF($N40="","",IF($G40&gt;0,$N40/$G40,0))</f>
        <v/>
      </c>
      <c r="P40" s="12">
        <f>IF($G40="","",$G40*$H40)</f>
        <v/>
      </c>
      <c r="Q40" s="12">
        <f>IF($N40="","",$N40-$I40*'設定'!$C$7)</f>
        <v/>
      </c>
      <c r="R40" s="14">
        <f>IF($N40="","",IF(AND($N40&gt;='設定'!$C$4,$O40&gt;='設定'!$C$5),IF($Q40&gt;=0,"仕入れOK","OK・下落に弱い"),"見送り"))</f>
        <v/>
      </c>
      <c r="S40" s="9" t="n"/>
      <c r="T40" s="8" t="n"/>
      <c r="U40" s="4" t="n"/>
      <c r="V40" s="8" t="n"/>
      <c r="W40" s="12">
        <f>IF(OR($G40="",$U40=""),"",$U40-$G40-$M40-$J40)</f>
        <v/>
      </c>
      <c r="X40" s="12">
        <f>IF(OR($I40="",$U40=""),"",$I40-$U40)</f>
        <v/>
      </c>
      <c r="Y40" s="11">
        <f>IF(OR($T40="",$V40=""),"",$V40-$T40)</f>
        <v/>
      </c>
      <c r="Z40" s="11">
        <f>IF(OR($S40="未発送",$S40="発送済",$S40="査定済",$S40="入金済"),1,0)</f>
        <v/>
      </c>
      <c r="AA40" s="11">
        <f>IF($U40="",0,1)</f>
        <v/>
      </c>
    </row>
    <row r="41">
      <c r="A41" s="8" t="n"/>
      <c r="B41" s="9" t="n"/>
      <c r="C41" s="10" t="n"/>
      <c r="D41" s="9" t="n"/>
      <c r="E41" s="9" t="n"/>
      <c r="F41" s="9" t="n"/>
      <c r="G41" s="4" t="n"/>
      <c r="H41" s="5" t="n"/>
      <c r="I41" s="4" t="n"/>
      <c r="J41" s="4" t="n"/>
      <c r="K41" s="4" t="n"/>
      <c r="L41" s="11">
        <f>IF($G41="","",IF($F41="",1,MAX(1,COUNTIF($F$6:$F$505,$F41)-COUNTIFS($F$6:$F$505,$F41,$S$6:$S$505,"見送り"))))</f>
        <v/>
      </c>
      <c r="M41" s="12">
        <f>IF($G41="","",IF($K41="",'設定'!$C$6,$K41)/$L41)</f>
        <v/>
      </c>
      <c r="N41" s="12">
        <f>IF(OR($G41="",$I41=""),"",$I41-$G41-$M41-$J41)</f>
        <v/>
      </c>
      <c r="O41" s="13">
        <f>IF($N41="","",IF($G41&gt;0,$N41/$G41,0))</f>
        <v/>
      </c>
      <c r="P41" s="12">
        <f>IF($G41="","",$G41*$H41)</f>
        <v/>
      </c>
      <c r="Q41" s="12">
        <f>IF($N41="","",$N41-$I41*'設定'!$C$7)</f>
        <v/>
      </c>
      <c r="R41" s="14">
        <f>IF($N41="","",IF(AND($N41&gt;='設定'!$C$4,$O41&gt;='設定'!$C$5),IF($Q41&gt;=0,"仕入れOK","OK・下落に弱い"),"見送り"))</f>
        <v/>
      </c>
      <c r="S41" s="9" t="n"/>
      <c r="T41" s="8" t="n"/>
      <c r="U41" s="4" t="n"/>
      <c r="V41" s="8" t="n"/>
      <c r="W41" s="12">
        <f>IF(OR($G41="",$U41=""),"",$U41-$G41-$M41-$J41)</f>
        <v/>
      </c>
      <c r="X41" s="12">
        <f>IF(OR($I41="",$U41=""),"",$I41-$U41)</f>
        <v/>
      </c>
      <c r="Y41" s="11">
        <f>IF(OR($T41="",$V41=""),"",$V41-$T41)</f>
        <v/>
      </c>
      <c r="Z41" s="11">
        <f>IF(OR($S41="未発送",$S41="発送済",$S41="査定済",$S41="入金済"),1,0)</f>
        <v/>
      </c>
      <c r="AA41" s="11">
        <f>IF($U41="",0,1)</f>
        <v/>
      </c>
    </row>
    <row r="42">
      <c r="A42" s="8" t="n"/>
      <c r="B42" s="9" t="n"/>
      <c r="C42" s="10" t="n"/>
      <c r="D42" s="9" t="n"/>
      <c r="E42" s="9" t="n"/>
      <c r="F42" s="9" t="n"/>
      <c r="G42" s="4" t="n"/>
      <c r="H42" s="5" t="n"/>
      <c r="I42" s="4" t="n"/>
      <c r="J42" s="4" t="n"/>
      <c r="K42" s="4" t="n"/>
      <c r="L42" s="11">
        <f>IF($G42="","",IF($F42="",1,MAX(1,COUNTIF($F$6:$F$505,$F42)-COUNTIFS($F$6:$F$505,$F42,$S$6:$S$505,"見送り"))))</f>
        <v/>
      </c>
      <c r="M42" s="12">
        <f>IF($G42="","",IF($K42="",'設定'!$C$6,$K42)/$L42)</f>
        <v/>
      </c>
      <c r="N42" s="12">
        <f>IF(OR($G42="",$I42=""),"",$I42-$G42-$M42-$J42)</f>
        <v/>
      </c>
      <c r="O42" s="13">
        <f>IF($N42="","",IF($G42&gt;0,$N42/$G42,0))</f>
        <v/>
      </c>
      <c r="P42" s="12">
        <f>IF($G42="","",$G42*$H42)</f>
        <v/>
      </c>
      <c r="Q42" s="12">
        <f>IF($N42="","",$N42-$I42*'設定'!$C$7)</f>
        <v/>
      </c>
      <c r="R42" s="14">
        <f>IF($N42="","",IF(AND($N42&gt;='設定'!$C$4,$O42&gt;='設定'!$C$5),IF($Q42&gt;=0,"仕入れOK","OK・下落に弱い"),"見送り"))</f>
        <v/>
      </c>
      <c r="S42" s="9" t="n"/>
      <c r="T42" s="8" t="n"/>
      <c r="U42" s="4" t="n"/>
      <c r="V42" s="8" t="n"/>
      <c r="W42" s="12">
        <f>IF(OR($G42="",$U42=""),"",$U42-$G42-$M42-$J42)</f>
        <v/>
      </c>
      <c r="X42" s="12">
        <f>IF(OR($I42="",$U42=""),"",$I42-$U42)</f>
        <v/>
      </c>
      <c r="Y42" s="11">
        <f>IF(OR($T42="",$V42=""),"",$V42-$T42)</f>
        <v/>
      </c>
      <c r="Z42" s="11">
        <f>IF(OR($S42="未発送",$S42="発送済",$S42="査定済",$S42="入金済"),1,0)</f>
        <v/>
      </c>
      <c r="AA42" s="11">
        <f>IF($U42="",0,1)</f>
        <v/>
      </c>
    </row>
    <row r="43">
      <c r="A43" s="8" t="n"/>
      <c r="B43" s="9" t="n"/>
      <c r="C43" s="10" t="n"/>
      <c r="D43" s="9" t="n"/>
      <c r="E43" s="9" t="n"/>
      <c r="F43" s="9" t="n"/>
      <c r="G43" s="4" t="n"/>
      <c r="H43" s="5" t="n"/>
      <c r="I43" s="4" t="n"/>
      <c r="J43" s="4" t="n"/>
      <c r="K43" s="4" t="n"/>
      <c r="L43" s="11">
        <f>IF($G43="","",IF($F43="",1,MAX(1,COUNTIF($F$6:$F$505,$F43)-COUNTIFS($F$6:$F$505,$F43,$S$6:$S$505,"見送り"))))</f>
        <v/>
      </c>
      <c r="M43" s="12">
        <f>IF($G43="","",IF($K43="",'設定'!$C$6,$K43)/$L43)</f>
        <v/>
      </c>
      <c r="N43" s="12">
        <f>IF(OR($G43="",$I43=""),"",$I43-$G43-$M43-$J43)</f>
        <v/>
      </c>
      <c r="O43" s="13">
        <f>IF($N43="","",IF($G43&gt;0,$N43/$G43,0))</f>
        <v/>
      </c>
      <c r="P43" s="12">
        <f>IF($G43="","",$G43*$H43)</f>
        <v/>
      </c>
      <c r="Q43" s="12">
        <f>IF($N43="","",$N43-$I43*'設定'!$C$7)</f>
        <v/>
      </c>
      <c r="R43" s="14">
        <f>IF($N43="","",IF(AND($N43&gt;='設定'!$C$4,$O43&gt;='設定'!$C$5),IF($Q43&gt;=0,"仕入れOK","OK・下落に弱い"),"見送り"))</f>
        <v/>
      </c>
      <c r="S43" s="9" t="n"/>
      <c r="T43" s="8" t="n"/>
      <c r="U43" s="4" t="n"/>
      <c r="V43" s="8" t="n"/>
      <c r="W43" s="12">
        <f>IF(OR($G43="",$U43=""),"",$U43-$G43-$M43-$J43)</f>
        <v/>
      </c>
      <c r="X43" s="12">
        <f>IF(OR($I43="",$U43=""),"",$I43-$U43)</f>
        <v/>
      </c>
      <c r="Y43" s="11">
        <f>IF(OR($T43="",$V43=""),"",$V43-$T43)</f>
        <v/>
      </c>
      <c r="Z43" s="11">
        <f>IF(OR($S43="未発送",$S43="発送済",$S43="査定済",$S43="入金済"),1,0)</f>
        <v/>
      </c>
      <c r="AA43" s="11">
        <f>IF($U43="",0,1)</f>
        <v/>
      </c>
    </row>
    <row r="44">
      <c r="A44" s="8" t="n"/>
      <c r="B44" s="9" t="n"/>
      <c r="C44" s="10" t="n"/>
      <c r="D44" s="9" t="n"/>
      <c r="E44" s="9" t="n"/>
      <c r="F44" s="9" t="n"/>
      <c r="G44" s="4" t="n"/>
      <c r="H44" s="5" t="n"/>
      <c r="I44" s="4" t="n"/>
      <c r="J44" s="4" t="n"/>
      <c r="K44" s="4" t="n"/>
      <c r="L44" s="11">
        <f>IF($G44="","",IF($F44="",1,MAX(1,COUNTIF($F$6:$F$505,$F44)-COUNTIFS($F$6:$F$505,$F44,$S$6:$S$505,"見送り"))))</f>
        <v/>
      </c>
      <c r="M44" s="12">
        <f>IF($G44="","",IF($K44="",'設定'!$C$6,$K44)/$L44)</f>
        <v/>
      </c>
      <c r="N44" s="12">
        <f>IF(OR($G44="",$I44=""),"",$I44-$G44-$M44-$J44)</f>
        <v/>
      </c>
      <c r="O44" s="13">
        <f>IF($N44="","",IF($G44&gt;0,$N44/$G44,0))</f>
        <v/>
      </c>
      <c r="P44" s="12">
        <f>IF($G44="","",$G44*$H44)</f>
        <v/>
      </c>
      <c r="Q44" s="12">
        <f>IF($N44="","",$N44-$I44*'設定'!$C$7)</f>
        <v/>
      </c>
      <c r="R44" s="14">
        <f>IF($N44="","",IF(AND($N44&gt;='設定'!$C$4,$O44&gt;='設定'!$C$5),IF($Q44&gt;=0,"仕入れOK","OK・下落に弱い"),"見送り"))</f>
        <v/>
      </c>
      <c r="S44" s="9" t="n"/>
      <c r="T44" s="8" t="n"/>
      <c r="U44" s="4" t="n"/>
      <c r="V44" s="8" t="n"/>
      <c r="W44" s="12">
        <f>IF(OR($G44="",$U44=""),"",$U44-$G44-$M44-$J44)</f>
        <v/>
      </c>
      <c r="X44" s="12">
        <f>IF(OR($I44="",$U44=""),"",$I44-$U44)</f>
        <v/>
      </c>
      <c r="Y44" s="11">
        <f>IF(OR($T44="",$V44=""),"",$V44-$T44)</f>
        <v/>
      </c>
      <c r="Z44" s="11">
        <f>IF(OR($S44="未発送",$S44="発送済",$S44="査定済",$S44="入金済"),1,0)</f>
        <v/>
      </c>
      <c r="AA44" s="11">
        <f>IF($U44="",0,1)</f>
        <v/>
      </c>
    </row>
    <row r="45">
      <c r="A45" s="8" t="n"/>
      <c r="B45" s="9" t="n"/>
      <c r="C45" s="10" t="n"/>
      <c r="D45" s="9" t="n"/>
      <c r="E45" s="9" t="n"/>
      <c r="F45" s="9" t="n"/>
      <c r="G45" s="4" t="n"/>
      <c r="H45" s="5" t="n"/>
      <c r="I45" s="4" t="n"/>
      <c r="J45" s="4" t="n"/>
      <c r="K45" s="4" t="n"/>
      <c r="L45" s="11">
        <f>IF($G45="","",IF($F45="",1,MAX(1,COUNTIF($F$6:$F$505,$F45)-COUNTIFS($F$6:$F$505,$F45,$S$6:$S$505,"見送り"))))</f>
        <v/>
      </c>
      <c r="M45" s="12">
        <f>IF($G45="","",IF($K45="",'設定'!$C$6,$K45)/$L45)</f>
        <v/>
      </c>
      <c r="N45" s="12">
        <f>IF(OR($G45="",$I45=""),"",$I45-$G45-$M45-$J45)</f>
        <v/>
      </c>
      <c r="O45" s="13">
        <f>IF($N45="","",IF($G45&gt;0,$N45/$G45,0))</f>
        <v/>
      </c>
      <c r="P45" s="12">
        <f>IF($G45="","",$G45*$H45)</f>
        <v/>
      </c>
      <c r="Q45" s="12">
        <f>IF($N45="","",$N45-$I45*'設定'!$C$7)</f>
        <v/>
      </c>
      <c r="R45" s="14">
        <f>IF($N45="","",IF(AND($N45&gt;='設定'!$C$4,$O45&gt;='設定'!$C$5),IF($Q45&gt;=0,"仕入れOK","OK・下落に弱い"),"見送り"))</f>
        <v/>
      </c>
      <c r="S45" s="9" t="n"/>
      <c r="T45" s="8" t="n"/>
      <c r="U45" s="4" t="n"/>
      <c r="V45" s="8" t="n"/>
      <c r="W45" s="12">
        <f>IF(OR($G45="",$U45=""),"",$U45-$G45-$M45-$J45)</f>
        <v/>
      </c>
      <c r="X45" s="12">
        <f>IF(OR($I45="",$U45=""),"",$I45-$U45)</f>
        <v/>
      </c>
      <c r="Y45" s="11">
        <f>IF(OR($T45="",$V45=""),"",$V45-$T45)</f>
        <v/>
      </c>
      <c r="Z45" s="11">
        <f>IF(OR($S45="未発送",$S45="発送済",$S45="査定済",$S45="入金済"),1,0)</f>
        <v/>
      </c>
      <c r="AA45" s="11">
        <f>IF($U45="",0,1)</f>
        <v/>
      </c>
    </row>
    <row r="46">
      <c r="A46" s="8" t="n"/>
      <c r="B46" s="9" t="n"/>
      <c r="C46" s="10" t="n"/>
      <c r="D46" s="9" t="n"/>
      <c r="E46" s="9" t="n"/>
      <c r="F46" s="9" t="n"/>
      <c r="G46" s="4" t="n"/>
      <c r="H46" s="5" t="n"/>
      <c r="I46" s="4" t="n"/>
      <c r="J46" s="4" t="n"/>
      <c r="K46" s="4" t="n"/>
      <c r="L46" s="11">
        <f>IF($G46="","",IF($F46="",1,MAX(1,COUNTIF($F$6:$F$505,$F46)-COUNTIFS($F$6:$F$505,$F46,$S$6:$S$505,"見送り"))))</f>
        <v/>
      </c>
      <c r="M46" s="12">
        <f>IF($G46="","",IF($K46="",'設定'!$C$6,$K46)/$L46)</f>
        <v/>
      </c>
      <c r="N46" s="12">
        <f>IF(OR($G46="",$I46=""),"",$I46-$G46-$M46-$J46)</f>
        <v/>
      </c>
      <c r="O46" s="13">
        <f>IF($N46="","",IF($G46&gt;0,$N46/$G46,0))</f>
        <v/>
      </c>
      <c r="P46" s="12">
        <f>IF($G46="","",$G46*$H46)</f>
        <v/>
      </c>
      <c r="Q46" s="12">
        <f>IF($N46="","",$N46-$I46*'設定'!$C$7)</f>
        <v/>
      </c>
      <c r="R46" s="14">
        <f>IF($N46="","",IF(AND($N46&gt;='設定'!$C$4,$O46&gt;='設定'!$C$5),IF($Q46&gt;=0,"仕入れOK","OK・下落に弱い"),"見送り"))</f>
        <v/>
      </c>
      <c r="S46" s="9" t="n"/>
      <c r="T46" s="8" t="n"/>
      <c r="U46" s="4" t="n"/>
      <c r="V46" s="8" t="n"/>
      <c r="W46" s="12">
        <f>IF(OR($G46="",$U46=""),"",$U46-$G46-$M46-$J46)</f>
        <v/>
      </c>
      <c r="X46" s="12">
        <f>IF(OR($I46="",$U46=""),"",$I46-$U46)</f>
        <v/>
      </c>
      <c r="Y46" s="11">
        <f>IF(OR($T46="",$V46=""),"",$V46-$T46)</f>
        <v/>
      </c>
      <c r="Z46" s="11">
        <f>IF(OR($S46="未発送",$S46="発送済",$S46="査定済",$S46="入金済"),1,0)</f>
        <v/>
      </c>
      <c r="AA46" s="11">
        <f>IF($U46="",0,1)</f>
        <v/>
      </c>
    </row>
    <row r="47">
      <c r="A47" s="8" t="n"/>
      <c r="B47" s="9" t="n"/>
      <c r="C47" s="10" t="n"/>
      <c r="D47" s="9" t="n"/>
      <c r="E47" s="9" t="n"/>
      <c r="F47" s="9" t="n"/>
      <c r="G47" s="4" t="n"/>
      <c r="H47" s="5" t="n"/>
      <c r="I47" s="4" t="n"/>
      <c r="J47" s="4" t="n"/>
      <c r="K47" s="4" t="n"/>
      <c r="L47" s="11">
        <f>IF($G47="","",IF($F47="",1,MAX(1,COUNTIF($F$6:$F$505,$F47)-COUNTIFS($F$6:$F$505,$F47,$S$6:$S$505,"見送り"))))</f>
        <v/>
      </c>
      <c r="M47" s="12">
        <f>IF($G47="","",IF($K47="",'設定'!$C$6,$K47)/$L47)</f>
        <v/>
      </c>
      <c r="N47" s="12">
        <f>IF(OR($G47="",$I47=""),"",$I47-$G47-$M47-$J47)</f>
        <v/>
      </c>
      <c r="O47" s="13">
        <f>IF($N47="","",IF($G47&gt;0,$N47/$G47,0))</f>
        <v/>
      </c>
      <c r="P47" s="12">
        <f>IF($G47="","",$G47*$H47)</f>
        <v/>
      </c>
      <c r="Q47" s="12">
        <f>IF($N47="","",$N47-$I47*'設定'!$C$7)</f>
        <v/>
      </c>
      <c r="R47" s="14">
        <f>IF($N47="","",IF(AND($N47&gt;='設定'!$C$4,$O47&gt;='設定'!$C$5),IF($Q47&gt;=0,"仕入れOK","OK・下落に弱い"),"見送り"))</f>
        <v/>
      </c>
      <c r="S47" s="9" t="n"/>
      <c r="T47" s="8" t="n"/>
      <c r="U47" s="4" t="n"/>
      <c r="V47" s="8" t="n"/>
      <c r="W47" s="12">
        <f>IF(OR($G47="",$U47=""),"",$U47-$G47-$M47-$J47)</f>
        <v/>
      </c>
      <c r="X47" s="12">
        <f>IF(OR($I47="",$U47=""),"",$I47-$U47)</f>
        <v/>
      </c>
      <c r="Y47" s="11">
        <f>IF(OR($T47="",$V47=""),"",$V47-$T47)</f>
        <v/>
      </c>
      <c r="Z47" s="11">
        <f>IF(OR($S47="未発送",$S47="発送済",$S47="査定済",$S47="入金済"),1,0)</f>
        <v/>
      </c>
      <c r="AA47" s="11">
        <f>IF($U47="",0,1)</f>
        <v/>
      </c>
    </row>
    <row r="48">
      <c r="A48" s="8" t="n"/>
      <c r="B48" s="9" t="n"/>
      <c r="C48" s="10" t="n"/>
      <c r="D48" s="9" t="n"/>
      <c r="E48" s="9" t="n"/>
      <c r="F48" s="9" t="n"/>
      <c r="G48" s="4" t="n"/>
      <c r="H48" s="5" t="n"/>
      <c r="I48" s="4" t="n"/>
      <c r="J48" s="4" t="n"/>
      <c r="K48" s="4" t="n"/>
      <c r="L48" s="11">
        <f>IF($G48="","",IF($F48="",1,MAX(1,COUNTIF($F$6:$F$505,$F48)-COUNTIFS($F$6:$F$505,$F48,$S$6:$S$505,"見送り"))))</f>
        <v/>
      </c>
      <c r="M48" s="12">
        <f>IF($G48="","",IF($K48="",'設定'!$C$6,$K48)/$L48)</f>
        <v/>
      </c>
      <c r="N48" s="12">
        <f>IF(OR($G48="",$I48=""),"",$I48-$G48-$M48-$J48)</f>
        <v/>
      </c>
      <c r="O48" s="13">
        <f>IF($N48="","",IF($G48&gt;0,$N48/$G48,0))</f>
        <v/>
      </c>
      <c r="P48" s="12">
        <f>IF($G48="","",$G48*$H48)</f>
        <v/>
      </c>
      <c r="Q48" s="12">
        <f>IF($N48="","",$N48-$I48*'設定'!$C$7)</f>
        <v/>
      </c>
      <c r="R48" s="14">
        <f>IF($N48="","",IF(AND($N48&gt;='設定'!$C$4,$O48&gt;='設定'!$C$5),IF($Q48&gt;=0,"仕入れOK","OK・下落に弱い"),"見送り"))</f>
        <v/>
      </c>
      <c r="S48" s="9" t="n"/>
      <c r="T48" s="8" t="n"/>
      <c r="U48" s="4" t="n"/>
      <c r="V48" s="8" t="n"/>
      <c r="W48" s="12">
        <f>IF(OR($G48="",$U48=""),"",$U48-$G48-$M48-$J48)</f>
        <v/>
      </c>
      <c r="X48" s="12">
        <f>IF(OR($I48="",$U48=""),"",$I48-$U48)</f>
        <v/>
      </c>
      <c r="Y48" s="11">
        <f>IF(OR($T48="",$V48=""),"",$V48-$T48)</f>
        <v/>
      </c>
      <c r="Z48" s="11">
        <f>IF(OR($S48="未発送",$S48="発送済",$S48="査定済",$S48="入金済"),1,0)</f>
        <v/>
      </c>
      <c r="AA48" s="11">
        <f>IF($U48="",0,1)</f>
        <v/>
      </c>
    </row>
    <row r="49">
      <c r="A49" s="8" t="n"/>
      <c r="B49" s="9" t="n"/>
      <c r="C49" s="10" t="n"/>
      <c r="D49" s="9" t="n"/>
      <c r="E49" s="9" t="n"/>
      <c r="F49" s="9" t="n"/>
      <c r="G49" s="4" t="n"/>
      <c r="H49" s="5" t="n"/>
      <c r="I49" s="4" t="n"/>
      <c r="J49" s="4" t="n"/>
      <c r="K49" s="4" t="n"/>
      <c r="L49" s="11">
        <f>IF($G49="","",IF($F49="",1,MAX(1,COUNTIF($F$6:$F$505,$F49)-COUNTIFS($F$6:$F$505,$F49,$S$6:$S$505,"見送り"))))</f>
        <v/>
      </c>
      <c r="M49" s="12">
        <f>IF($G49="","",IF($K49="",'設定'!$C$6,$K49)/$L49)</f>
        <v/>
      </c>
      <c r="N49" s="12">
        <f>IF(OR($G49="",$I49=""),"",$I49-$G49-$M49-$J49)</f>
        <v/>
      </c>
      <c r="O49" s="13">
        <f>IF($N49="","",IF($G49&gt;0,$N49/$G49,0))</f>
        <v/>
      </c>
      <c r="P49" s="12">
        <f>IF($G49="","",$G49*$H49)</f>
        <v/>
      </c>
      <c r="Q49" s="12">
        <f>IF($N49="","",$N49-$I49*'設定'!$C$7)</f>
        <v/>
      </c>
      <c r="R49" s="14">
        <f>IF($N49="","",IF(AND($N49&gt;='設定'!$C$4,$O49&gt;='設定'!$C$5),IF($Q49&gt;=0,"仕入れOK","OK・下落に弱い"),"見送り"))</f>
        <v/>
      </c>
      <c r="S49" s="9" t="n"/>
      <c r="T49" s="8" t="n"/>
      <c r="U49" s="4" t="n"/>
      <c r="V49" s="8" t="n"/>
      <c r="W49" s="12">
        <f>IF(OR($G49="",$U49=""),"",$U49-$G49-$M49-$J49)</f>
        <v/>
      </c>
      <c r="X49" s="12">
        <f>IF(OR($I49="",$U49=""),"",$I49-$U49)</f>
        <v/>
      </c>
      <c r="Y49" s="11">
        <f>IF(OR($T49="",$V49=""),"",$V49-$T49)</f>
        <v/>
      </c>
      <c r="Z49" s="11">
        <f>IF(OR($S49="未発送",$S49="発送済",$S49="査定済",$S49="入金済"),1,0)</f>
        <v/>
      </c>
      <c r="AA49" s="11">
        <f>IF($U49="",0,1)</f>
        <v/>
      </c>
    </row>
    <row r="50">
      <c r="A50" s="8" t="n"/>
      <c r="B50" s="9" t="n"/>
      <c r="C50" s="10" t="n"/>
      <c r="D50" s="9" t="n"/>
      <c r="E50" s="9" t="n"/>
      <c r="F50" s="9" t="n"/>
      <c r="G50" s="4" t="n"/>
      <c r="H50" s="5" t="n"/>
      <c r="I50" s="4" t="n"/>
      <c r="J50" s="4" t="n"/>
      <c r="K50" s="4" t="n"/>
      <c r="L50" s="11">
        <f>IF($G50="","",IF($F50="",1,MAX(1,COUNTIF($F$6:$F$505,$F50)-COUNTIFS($F$6:$F$505,$F50,$S$6:$S$505,"見送り"))))</f>
        <v/>
      </c>
      <c r="M50" s="12">
        <f>IF($G50="","",IF($K50="",'設定'!$C$6,$K50)/$L50)</f>
        <v/>
      </c>
      <c r="N50" s="12">
        <f>IF(OR($G50="",$I50=""),"",$I50-$G50-$M50-$J50)</f>
        <v/>
      </c>
      <c r="O50" s="13">
        <f>IF($N50="","",IF($G50&gt;0,$N50/$G50,0))</f>
        <v/>
      </c>
      <c r="P50" s="12">
        <f>IF($G50="","",$G50*$H50)</f>
        <v/>
      </c>
      <c r="Q50" s="12">
        <f>IF($N50="","",$N50-$I50*'設定'!$C$7)</f>
        <v/>
      </c>
      <c r="R50" s="14">
        <f>IF($N50="","",IF(AND($N50&gt;='設定'!$C$4,$O50&gt;='設定'!$C$5),IF($Q50&gt;=0,"仕入れOK","OK・下落に弱い"),"見送り"))</f>
        <v/>
      </c>
      <c r="S50" s="9" t="n"/>
      <c r="T50" s="8" t="n"/>
      <c r="U50" s="4" t="n"/>
      <c r="V50" s="8" t="n"/>
      <c r="W50" s="12">
        <f>IF(OR($G50="",$U50=""),"",$U50-$G50-$M50-$J50)</f>
        <v/>
      </c>
      <c r="X50" s="12">
        <f>IF(OR($I50="",$U50=""),"",$I50-$U50)</f>
        <v/>
      </c>
      <c r="Y50" s="11">
        <f>IF(OR($T50="",$V50=""),"",$V50-$T50)</f>
        <v/>
      </c>
      <c r="Z50" s="11">
        <f>IF(OR($S50="未発送",$S50="発送済",$S50="査定済",$S50="入金済"),1,0)</f>
        <v/>
      </c>
      <c r="AA50" s="11">
        <f>IF($U50="",0,1)</f>
        <v/>
      </c>
    </row>
    <row r="51">
      <c r="A51" s="8" t="n"/>
      <c r="B51" s="9" t="n"/>
      <c r="C51" s="10" t="n"/>
      <c r="D51" s="9" t="n"/>
      <c r="E51" s="9" t="n"/>
      <c r="F51" s="9" t="n"/>
      <c r="G51" s="4" t="n"/>
      <c r="H51" s="5" t="n"/>
      <c r="I51" s="4" t="n"/>
      <c r="J51" s="4" t="n"/>
      <c r="K51" s="4" t="n"/>
      <c r="L51" s="11">
        <f>IF($G51="","",IF($F51="",1,MAX(1,COUNTIF($F$6:$F$505,$F51)-COUNTIFS($F$6:$F$505,$F51,$S$6:$S$505,"見送り"))))</f>
        <v/>
      </c>
      <c r="M51" s="12">
        <f>IF($G51="","",IF($K51="",'設定'!$C$6,$K51)/$L51)</f>
        <v/>
      </c>
      <c r="N51" s="12">
        <f>IF(OR($G51="",$I51=""),"",$I51-$G51-$M51-$J51)</f>
        <v/>
      </c>
      <c r="O51" s="13">
        <f>IF($N51="","",IF($G51&gt;0,$N51/$G51,0))</f>
        <v/>
      </c>
      <c r="P51" s="12">
        <f>IF($G51="","",$G51*$H51)</f>
        <v/>
      </c>
      <c r="Q51" s="12">
        <f>IF($N51="","",$N51-$I51*'設定'!$C$7)</f>
        <v/>
      </c>
      <c r="R51" s="14">
        <f>IF($N51="","",IF(AND($N51&gt;='設定'!$C$4,$O51&gt;='設定'!$C$5),IF($Q51&gt;=0,"仕入れOK","OK・下落に弱い"),"見送り"))</f>
        <v/>
      </c>
      <c r="S51" s="9" t="n"/>
      <c r="T51" s="8" t="n"/>
      <c r="U51" s="4" t="n"/>
      <c r="V51" s="8" t="n"/>
      <c r="W51" s="12">
        <f>IF(OR($G51="",$U51=""),"",$U51-$G51-$M51-$J51)</f>
        <v/>
      </c>
      <c r="X51" s="12">
        <f>IF(OR($I51="",$U51=""),"",$I51-$U51)</f>
        <v/>
      </c>
      <c r="Y51" s="11">
        <f>IF(OR($T51="",$V51=""),"",$V51-$T51)</f>
        <v/>
      </c>
      <c r="Z51" s="11">
        <f>IF(OR($S51="未発送",$S51="発送済",$S51="査定済",$S51="入金済"),1,0)</f>
        <v/>
      </c>
      <c r="AA51" s="11">
        <f>IF($U51="",0,1)</f>
        <v/>
      </c>
    </row>
    <row r="52">
      <c r="A52" s="8" t="n"/>
      <c r="B52" s="9" t="n"/>
      <c r="C52" s="10" t="n"/>
      <c r="D52" s="9" t="n"/>
      <c r="E52" s="9" t="n"/>
      <c r="F52" s="9" t="n"/>
      <c r="G52" s="4" t="n"/>
      <c r="H52" s="5" t="n"/>
      <c r="I52" s="4" t="n"/>
      <c r="J52" s="4" t="n"/>
      <c r="K52" s="4" t="n"/>
      <c r="L52" s="11">
        <f>IF($G52="","",IF($F52="",1,MAX(1,COUNTIF($F$6:$F$505,$F52)-COUNTIFS($F$6:$F$505,$F52,$S$6:$S$505,"見送り"))))</f>
        <v/>
      </c>
      <c r="M52" s="12">
        <f>IF($G52="","",IF($K52="",'設定'!$C$6,$K52)/$L52)</f>
        <v/>
      </c>
      <c r="N52" s="12">
        <f>IF(OR($G52="",$I52=""),"",$I52-$G52-$M52-$J52)</f>
        <v/>
      </c>
      <c r="O52" s="13">
        <f>IF($N52="","",IF($G52&gt;0,$N52/$G52,0))</f>
        <v/>
      </c>
      <c r="P52" s="12">
        <f>IF($G52="","",$G52*$H52)</f>
        <v/>
      </c>
      <c r="Q52" s="12">
        <f>IF($N52="","",$N52-$I52*'設定'!$C$7)</f>
        <v/>
      </c>
      <c r="R52" s="14">
        <f>IF($N52="","",IF(AND($N52&gt;='設定'!$C$4,$O52&gt;='設定'!$C$5),IF($Q52&gt;=0,"仕入れOK","OK・下落に弱い"),"見送り"))</f>
        <v/>
      </c>
      <c r="S52" s="9" t="n"/>
      <c r="T52" s="8" t="n"/>
      <c r="U52" s="4" t="n"/>
      <c r="V52" s="8" t="n"/>
      <c r="W52" s="12">
        <f>IF(OR($G52="",$U52=""),"",$U52-$G52-$M52-$J52)</f>
        <v/>
      </c>
      <c r="X52" s="12">
        <f>IF(OR($I52="",$U52=""),"",$I52-$U52)</f>
        <v/>
      </c>
      <c r="Y52" s="11">
        <f>IF(OR($T52="",$V52=""),"",$V52-$T52)</f>
        <v/>
      </c>
      <c r="Z52" s="11">
        <f>IF(OR($S52="未発送",$S52="発送済",$S52="査定済",$S52="入金済"),1,0)</f>
        <v/>
      </c>
      <c r="AA52" s="11">
        <f>IF($U52="",0,1)</f>
        <v/>
      </c>
    </row>
    <row r="53">
      <c r="A53" s="8" t="n"/>
      <c r="B53" s="9" t="n"/>
      <c r="C53" s="10" t="n"/>
      <c r="D53" s="9" t="n"/>
      <c r="E53" s="9" t="n"/>
      <c r="F53" s="9" t="n"/>
      <c r="G53" s="4" t="n"/>
      <c r="H53" s="5" t="n"/>
      <c r="I53" s="4" t="n"/>
      <c r="J53" s="4" t="n"/>
      <c r="K53" s="4" t="n"/>
      <c r="L53" s="11">
        <f>IF($G53="","",IF($F53="",1,MAX(1,COUNTIF($F$6:$F$505,$F53)-COUNTIFS($F$6:$F$505,$F53,$S$6:$S$505,"見送り"))))</f>
        <v/>
      </c>
      <c r="M53" s="12">
        <f>IF($G53="","",IF($K53="",'設定'!$C$6,$K53)/$L53)</f>
        <v/>
      </c>
      <c r="N53" s="12">
        <f>IF(OR($G53="",$I53=""),"",$I53-$G53-$M53-$J53)</f>
        <v/>
      </c>
      <c r="O53" s="13">
        <f>IF($N53="","",IF($G53&gt;0,$N53/$G53,0))</f>
        <v/>
      </c>
      <c r="P53" s="12">
        <f>IF($G53="","",$G53*$H53)</f>
        <v/>
      </c>
      <c r="Q53" s="12">
        <f>IF($N53="","",$N53-$I53*'設定'!$C$7)</f>
        <v/>
      </c>
      <c r="R53" s="14">
        <f>IF($N53="","",IF(AND($N53&gt;='設定'!$C$4,$O53&gt;='設定'!$C$5),IF($Q53&gt;=0,"仕入れOK","OK・下落に弱い"),"見送り"))</f>
        <v/>
      </c>
      <c r="S53" s="9" t="n"/>
      <c r="T53" s="8" t="n"/>
      <c r="U53" s="4" t="n"/>
      <c r="V53" s="8" t="n"/>
      <c r="W53" s="12">
        <f>IF(OR($G53="",$U53=""),"",$U53-$G53-$M53-$J53)</f>
        <v/>
      </c>
      <c r="X53" s="12">
        <f>IF(OR($I53="",$U53=""),"",$I53-$U53)</f>
        <v/>
      </c>
      <c r="Y53" s="11">
        <f>IF(OR($T53="",$V53=""),"",$V53-$T53)</f>
        <v/>
      </c>
      <c r="Z53" s="11">
        <f>IF(OR($S53="未発送",$S53="発送済",$S53="査定済",$S53="入金済"),1,0)</f>
        <v/>
      </c>
      <c r="AA53" s="11">
        <f>IF($U53="",0,1)</f>
        <v/>
      </c>
    </row>
    <row r="54">
      <c r="A54" s="8" t="n"/>
      <c r="B54" s="9" t="n"/>
      <c r="C54" s="10" t="n"/>
      <c r="D54" s="9" t="n"/>
      <c r="E54" s="9" t="n"/>
      <c r="F54" s="9" t="n"/>
      <c r="G54" s="4" t="n"/>
      <c r="H54" s="5" t="n"/>
      <c r="I54" s="4" t="n"/>
      <c r="J54" s="4" t="n"/>
      <c r="K54" s="4" t="n"/>
      <c r="L54" s="11">
        <f>IF($G54="","",IF($F54="",1,MAX(1,COUNTIF($F$6:$F$505,$F54)-COUNTIFS($F$6:$F$505,$F54,$S$6:$S$505,"見送り"))))</f>
        <v/>
      </c>
      <c r="M54" s="12">
        <f>IF($G54="","",IF($K54="",'設定'!$C$6,$K54)/$L54)</f>
        <v/>
      </c>
      <c r="N54" s="12">
        <f>IF(OR($G54="",$I54=""),"",$I54-$G54-$M54-$J54)</f>
        <v/>
      </c>
      <c r="O54" s="13">
        <f>IF($N54="","",IF($G54&gt;0,$N54/$G54,0))</f>
        <v/>
      </c>
      <c r="P54" s="12">
        <f>IF($G54="","",$G54*$H54)</f>
        <v/>
      </c>
      <c r="Q54" s="12">
        <f>IF($N54="","",$N54-$I54*'設定'!$C$7)</f>
        <v/>
      </c>
      <c r="R54" s="14">
        <f>IF($N54="","",IF(AND($N54&gt;='設定'!$C$4,$O54&gt;='設定'!$C$5),IF($Q54&gt;=0,"仕入れOK","OK・下落に弱い"),"見送り"))</f>
        <v/>
      </c>
      <c r="S54" s="9" t="n"/>
      <c r="T54" s="8" t="n"/>
      <c r="U54" s="4" t="n"/>
      <c r="V54" s="8" t="n"/>
      <c r="W54" s="12">
        <f>IF(OR($G54="",$U54=""),"",$U54-$G54-$M54-$J54)</f>
        <v/>
      </c>
      <c r="X54" s="12">
        <f>IF(OR($I54="",$U54=""),"",$I54-$U54)</f>
        <v/>
      </c>
      <c r="Y54" s="11">
        <f>IF(OR($T54="",$V54=""),"",$V54-$T54)</f>
        <v/>
      </c>
      <c r="Z54" s="11">
        <f>IF(OR($S54="未発送",$S54="発送済",$S54="査定済",$S54="入金済"),1,0)</f>
        <v/>
      </c>
      <c r="AA54" s="11">
        <f>IF($U54="",0,1)</f>
        <v/>
      </c>
    </row>
    <row r="55">
      <c r="A55" s="8" t="n"/>
      <c r="B55" s="9" t="n"/>
      <c r="C55" s="10" t="n"/>
      <c r="D55" s="9" t="n"/>
      <c r="E55" s="9" t="n"/>
      <c r="F55" s="9" t="n"/>
      <c r="G55" s="4" t="n"/>
      <c r="H55" s="5" t="n"/>
      <c r="I55" s="4" t="n"/>
      <c r="J55" s="4" t="n"/>
      <c r="K55" s="4" t="n"/>
      <c r="L55" s="11">
        <f>IF($G55="","",IF($F55="",1,MAX(1,COUNTIF($F$6:$F$505,$F55)-COUNTIFS($F$6:$F$505,$F55,$S$6:$S$505,"見送り"))))</f>
        <v/>
      </c>
      <c r="M55" s="12">
        <f>IF($G55="","",IF($K55="",'設定'!$C$6,$K55)/$L55)</f>
        <v/>
      </c>
      <c r="N55" s="12">
        <f>IF(OR($G55="",$I55=""),"",$I55-$G55-$M55-$J55)</f>
        <v/>
      </c>
      <c r="O55" s="13">
        <f>IF($N55="","",IF($G55&gt;0,$N55/$G55,0))</f>
        <v/>
      </c>
      <c r="P55" s="12">
        <f>IF($G55="","",$G55*$H55)</f>
        <v/>
      </c>
      <c r="Q55" s="12">
        <f>IF($N55="","",$N55-$I55*'設定'!$C$7)</f>
        <v/>
      </c>
      <c r="R55" s="14">
        <f>IF($N55="","",IF(AND($N55&gt;='設定'!$C$4,$O55&gt;='設定'!$C$5),IF($Q55&gt;=0,"仕入れOK","OK・下落に弱い"),"見送り"))</f>
        <v/>
      </c>
      <c r="S55" s="9" t="n"/>
      <c r="T55" s="8" t="n"/>
      <c r="U55" s="4" t="n"/>
      <c r="V55" s="8" t="n"/>
      <c r="W55" s="12">
        <f>IF(OR($G55="",$U55=""),"",$U55-$G55-$M55-$J55)</f>
        <v/>
      </c>
      <c r="X55" s="12">
        <f>IF(OR($I55="",$U55=""),"",$I55-$U55)</f>
        <v/>
      </c>
      <c r="Y55" s="11">
        <f>IF(OR($T55="",$V55=""),"",$V55-$T55)</f>
        <v/>
      </c>
      <c r="Z55" s="11">
        <f>IF(OR($S55="未発送",$S55="発送済",$S55="査定済",$S55="入金済"),1,0)</f>
        <v/>
      </c>
      <c r="AA55" s="11">
        <f>IF($U55="",0,1)</f>
        <v/>
      </c>
    </row>
    <row r="56">
      <c r="A56" s="8" t="n"/>
      <c r="B56" s="9" t="n"/>
      <c r="C56" s="10" t="n"/>
      <c r="D56" s="9" t="n"/>
      <c r="E56" s="9" t="n"/>
      <c r="F56" s="9" t="n"/>
      <c r="G56" s="4" t="n"/>
      <c r="H56" s="5" t="n"/>
      <c r="I56" s="4" t="n"/>
      <c r="J56" s="4" t="n"/>
      <c r="K56" s="4" t="n"/>
      <c r="L56" s="11">
        <f>IF($G56="","",IF($F56="",1,MAX(1,COUNTIF($F$6:$F$505,$F56)-COUNTIFS($F$6:$F$505,$F56,$S$6:$S$505,"見送り"))))</f>
        <v/>
      </c>
      <c r="M56" s="12">
        <f>IF($G56="","",IF($K56="",'設定'!$C$6,$K56)/$L56)</f>
        <v/>
      </c>
      <c r="N56" s="12">
        <f>IF(OR($G56="",$I56=""),"",$I56-$G56-$M56-$J56)</f>
        <v/>
      </c>
      <c r="O56" s="13">
        <f>IF($N56="","",IF($G56&gt;0,$N56/$G56,0))</f>
        <v/>
      </c>
      <c r="P56" s="12">
        <f>IF($G56="","",$G56*$H56)</f>
        <v/>
      </c>
      <c r="Q56" s="12">
        <f>IF($N56="","",$N56-$I56*'設定'!$C$7)</f>
        <v/>
      </c>
      <c r="R56" s="14">
        <f>IF($N56="","",IF(AND($N56&gt;='設定'!$C$4,$O56&gt;='設定'!$C$5),IF($Q56&gt;=0,"仕入れOK","OK・下落に弱い"),"見送り"))</f>
        <v/>
      </c>
      <c r="S56" s="9" t="n"/>
      <c r="T56" s="8" t="n"/>
      <c r="U56" s="4" t="n"/>
      <c r="V56" s="8" t="n"/>
      <c r="W56" s="12">
        <f>IF(OR($G56="",$U56=""),"",$U56-$G56-$M56-$J56)</f>
        <v/>
      </c>
      <c r="X56" s="12">
        <f>IF(OR($I56="",$U56=""),"",$I56-$U56)</f>
        <v/>
      </c>
      <c r="Y56" s="11">
        <f>IF(OR($T56="",$V56=""),"",$V56-$T56)</f>
        <v/>
      </c>
      <c r="Z56" s="11">
        <f>IF(OR($S56="未発送",$S56="発送済",$S56="査定済",$S56="入金済"),1,0)</f>
        <v/>
      </c>
      <c r="AA56" s="11">
        <f>IF($U56="",0,1)</f>
        <v/>
      </c>
    </row>
    <row r="57">
      <c r="A57" s="8" t="n"/>
      <c r="B57" s="9" t="n"/>
      <c r="C57" s="10" t="n"/>
      <c r="D57" s="9" t="n"/>
      <c r="E57" s="9" t="n"/>
      <c r="F57" s="9" t="n"/>
      <c r="G57" s="4" t="n"/>
      <c r="H57" s="5" t="n"/>
      <c r="I57" s="4" t="n"/>
      <c r="J57" s="4" t="n"/>
      <c r="K57" s="4" t="n"/>
      <c r="L57" s="11">
        <f>IF($G57="","",IF($F57="",1,MAX(1,COUNTIF($F$6:$F$505,$F57)-COUNTIFS($F$6:$F$505,$F57,$S$6:$S$505,"見送り"))))</f>
        <v/>
      </c>
      <c r="M57" s="12">
        <f>IF($G57="","",IF($K57="",'設定'!$C$6,$K57)/$L57)</f>
        <v/>
      </c>
      <c r="N57" s="12">
        <f>IF(OR($G57="",$I57=""),"",$I57-$G57-$M57-$J57)</f>
        <v/>
      </c>
      <c r="O57" s="13">
        <f>IF($N57="","",IF($G57&gt;0,$N57/$G57,0))</f>
        <v/>
      </c>
      <c r="P57" s="12">
        <f>IF($G57="","",$G57*$H57)</f>
        <v/>
      </c>
      <c r="Q57" s="12">
        <f>IF($N57="","",$N57-$I57*'設定'!$C$7)</f>
        <v/>
      </c>
      <c r="R57" s="14">
        <f>IF($N57="","",IF(AND($N57&gt;='設定'!$C$4,$O57&gt;='設定'!$C$5),IF($Q57&gt;=0,"仕入れOK","OK・下落に弱い"),"見送り"))</f>
        <v/>
      </c>
      <c r="S57" s="9" t="n"/>
      <c r="T57" s="8" t="n"/>
      <c r="U57" s="4" t="n"/>
      <c r="V57" s="8" t="n"/>
      <c r="W57" s="12">
        <f>IF(OR($G57="",$U57=""),"",$U57-$G57-$M57-$J57)</f>
        <v/>
      </c>
      <c r="X57" s="12">
        <f>IF(OR($I57="",$U57=""),"",$I57-$U57)</f>
        <v/>
      </c>
      <c r="Y57" s="11">
        <f>IF(OR($T57="",$V57=""),"",$V57-$T57)</f>
        <v/>
      </c>
      <c r="Z57" s="11">
        <f>IF(OR($S57="未発送",$S57="発送済",$S57="査定済",$S57="入金済"),1,0)</f>
        <v/>
      </c>
      <c r="AA57" s="11">
        <f>IF($U57="",0,1)</f>
        <v/>
      </c>
    </row>
    <row r="58">
      <c r="A58" s="8" t="n"/>
      <c r="B58" s="9" t="n"/>
      <c r="C58" s="10" t="n"/>
      <c r="D58" s="9" t="n"/>
      <c r="E58" s="9" t="n"/>
      <c r="F58" s="9" t="n"/>
      <c r="G58" s="4" t="n"/>
      <c r="H58" s="5" t="n"/>
      <c r="I58" s="4" t="n"/>
      <c r="J58" s="4" t="n"/>
      <c r="K58" s="4" t="n"/>
      <c r="L58" s="11">
        <f>IF($G58="","",IF($F58="",1,MAX(1,COUNTIF($F$6:$F$505,$F58)-COUNTIFS($F$6:$F$505,$F58,$S$6:$S$505,"見送り"))))</f>
        <v/>
      </c>
      <c r="M58" s="12">
        <f>IF($G58="","",IF($K58="",'設定'!$C$6,$K58)/$L58)</f>
        <v/>
      </c>
      <c r="N58" s="12">
        <f>IF(OR($G58="",$I58=""),"",$I58-$G58-$M58-$J58)</f>
        <v/>
      </c>
      <c r="O58" s="13">
        <f>IF($N58="","",IF($G58&gt;0,$N58/$G58,0))</f>
        <v/>
      </c>
      <c r="P58" s="12">
        <f>IF($G58="","",$G58*$H58)</f>
        <v/>
      </c>
      <c r="Q58" s="12">
        <f>IF($N58="","",$N58-$I58*'設定'!$C$7)</f>
        <v/>
      </c>
      <c r="R58" s="14">
        <f>IF($N58="","",IF(AND($N58&gt;='設定'!$C$4,$O58&gt;='設定'!$C$5),IF($Q58&gt;=0,"仕入れOK","OK・下落に弱い"),"見送り"))</f>
        <v/>
      </c>
      <c r="S58" s="9" t="n"/>
      <c r="T58" s="8" t="n"/>
      <c r="U58" s="4" t="n"/>
      <c r="V58" s="8" t="n"/>
      <c r="W58" s="12">
        <f>IF(OR($G58="",$U58=""),"",$U58-$G58-$M58-$J58)</f>
        <v/>
      </c>
      <c r="X58" s="12">
        <f>IF(OR($I58="",$U58=""),"",$I58-$U58)</f>
        <v/>
      </c>
      <c r="Y58" s="11">
        <f>IF(OR($T58="",$V58=""),"",$V58-$T58)</f>
        <v/>
      </c>
      <c r="Z58" s="11">
        <f>IF(OR($S58="未発送",$S58="発送済",$S58="査定済",$S58="入金済"),1,0)</f>
        <v/>
      </c>
      <c r="AA58" s="11">
        <f>IF($U58="",0,1)</f>
        <v/>
      </c>
    </row>
    <row r="59">
      <c r="A59" s="8" t="n"/>
      <c r="B59" s="9" t="n"/>
      <c r="C59" s="10" t="n"/>
      <c r="D59" s="9" t="n"/>
      <c r="E59" s="9" t="n"/>
      <c r="F59" s="9" t="n"/>
      <c r="G59" s="4" t="n"/>
      <c r="H59" s="5" t="n"/>
      <c r="I59" s="4" t="n"/>
      <c r="J59" s="4" t="n"/>
      <c r="K59" s="4" t="n"/>
      <c r="L59" s="11">
        <f>IF($G59="","",IF($F59="",1,MAX(1,COUNTIF($F$6:$F$505,$F59)-COUNTIFS($F$6:$F$505,$F59,$S$6:$S$505,"見送り"))))</f>
        <v/>
      </c>
      <c r="M59" s="12">
        <f>IF($G59="","",IF($K59="",'設定'!$C$6,$K59)/$L59)</f>
        <v/>
      </c>
      <c r="N59" s="12">
        <f>IF(OR($G59="",$I59=""),"",$I59-$G59-$M59-$J59)</f>
        <v/>
      </c>
      <c r="O59" s="13">
        <f>IF($N59="","",IF($G59&gt;0,$N59/$G59,0))</f>
        <v/>
      </c>
      <c r="P59" s="12">
        <f>IF($G59="","",$G59*$H59)</f>
        <v/>
      </c>
      <c r="Q59" s="12">
        <f>IF($N59="","",$N59-$I59*'設定'!$C$7)</f>
        <v/>
      </c>
      <c r="R59" s="14">
        <f>IF($N59="","",IF(AND($N59&gt;='設定'!$C$4,$O59&gt;='設定'!$C$5),IF($Q59&gt;=0,"仕入れOK","OK・下落に弱い"),"見送り"))</f>
        <v/>
      </c>
      <c r="S59" s="9" t="n"/>
      <c r="T59" s="8" t="n"/>
      <c r="U59" s="4" t="n"/>
      <c r="V59" s="8" t="n"/>
      <c r="W59" s="12">
        <f>IF(OR($G59="",$U59=""),"",$U59-$G59-$M59-$J59)</f>
        <v/>
      </c>
      <c r="X59" s="12">
        <f>IF(OR($I59="",$U59=""),"",$I59-$U59)</f>
        <v/>
      </c>
      <c r="Y59" s="11">
        <f>IF(OR($T59="",$V59=""),"",$V59-$T59)</f>
        <v/>
      </c>
      <c r="Z59" s="11">
        <f>IF(OR($S59="未発送",$S59="発送済",$S59="査定済",$S59="入金済"),1,0)</f>
        <v/>
      </c>
      <c r="AA59" s="11">
        <f>IF($U59="",0,1)</f>
        <v/>
      </c>
    </row>
    <row r="60">
      <c r="A60" s="8" t="n"/>
      <c r="B60" s="9" t="n"/>
      <c r="C60" s="10" t="n"/>
      <c r="D60" s="9" t="n"/>
      <c r="E60" s="9" t="n"/>
      <c r="F60" s="9" t="n"/>
      <c r="G60" s="4" t="n"/>
      <c r="H60" s="5" t="n"/>
      <c r="I60" s="4" t="n"/>
      <c r="J60" s="4" t="n"/>
      <c r="K60" s="4" t="n"/>
      <c r="L60" s="11">
        <f>IF($G60="","",IF($F60="",1,MAX(1,COUNTIF($F$6:$F$505,$F60)-COUNTIFS($F$6:$F$505,$F60,$S$6:$S$505,"見送り"))))</f>
        <v/>
      </c>
      <c r="M60" s="12">
        <f>IF($G60="","",IF($K60="",'設定'!$C$6,$K60)/$L60)</f>
        <v/>
      </c>
      <c r="N60" s="12">
        <f>IF(OR($G60="",$I60=""),"",$I60-$G60-$M60-$J60)</f>
        <v/>
      </c>
      <c r="O60" s="13">
        <f>IF($N60="","",IF($G60&gt;0,$N60/$G60,0))</f>
        <v/>
      </c>
      <c r="P60" s="12">
        <f>IF($G60="","",$G60*$H60)</f>
        <v/>
      </c>
      <c r="Q60" s="12">
        <f>IF($N60="","",$N60-$I60*'設定'!$C$7)</f>
        <v/>
      </c>
      <c r="R60" s="14">
        <f>IF($N60="","",IF(AND($N60&gt;='設定'!$C$4,$O60&gt;='設定'!$C$5),IF($Q60&gt;=0,"仕入れOK","OK・下落に弱い"),"見送り"))</f>
        <v/>
      </c>
      <c r="S60" s="9" t="n"/>
      <c r="T60" s="8" t="n"/>
      <c r="U60" s="4" t="n"/>
      <c r="V60" s="8" t="n"/>
      <c r="W60" s="12">
        <f>IF(OR($G60="",$U60=""),"",$U60-$G60-$M60-$J60)</f>
        <v/>
      </c>
      <c r="X60" s="12">
        <f>IF(OR($I60="",$U60=""),"",$I60-$U60)</f>
        <v/>
      </c>
      <c r="Y60" s="11">
        <f>IF(OR($T60="",$V60=""),"",$V60-$T60)</f>
        <v/>
      </c>
      <c r="Z60" s="11">
        <f>IF(OR($S60="未発送",$S60="発送済",$S60="査定済",$S60="入金済"),1,0)</f>
        <v/>
      </c>
      <c r="AA60" s="11">
        <f>IF($U60="",0,1)</f>
        <v/>
      </c>
    </row>
    <row r="61">
      <c r="A61" s="8" t="n"/>
      <c r="B61" s="9" t="n"/>
      <c r="C61" s="10" t="n"/>
      <c r="D61" s="9" t="n"/>
      <c r="E61" s="9" t="n"/>
      <c r="F61" s="9" t="n"/>
      <c r="G61" s="4" t="n"/>
      <c r="H61" s="5" t="n"/>
      <c r="I61" s="4" t="n"/>
      <c r="J61" s="4" t="n"/>
      <c r="K61" s="4" t="n"/>
      <c r="L61" s="11">
        <f>IF($G61="","",IF($F61="",1,MAX(1,COUNTIF($F$6:$F$505,$F61)-COUNTIFS($F$6:$F$505,$F61,$S$6:$S$505,"見送り"))))</f>
        <v/>
      </c>
      <c r="M61" s="12">
        <f>IF($G61="","",IF($K61="",'設定'!$C$6,$K61)/$L61)</f>
        <v/>
      </c>
      <c r="N61" s="12">
        <f>IF(OR($G61="",$I61=""),"",$I61-$G61-$M61-$J61)</f>
        <v/>
      </c>
      <c r="O61" s="13">
        <f>IF($N61="","",IF($G61&gt;0,$N61/$G61,0))</f>
        <v/>
      </c>
      <c r="P61" s="12">
        <f>IF($G61="","",$G61*$H61)</f>
        <v/>
      </c>
      <c r="Q61" s="12">
        <f>IF($N61="","",$N61-$I61*'設定'!$C$7)</f>
        <v/>
      </c>
      <c r="R61" s="14">
        <f>IF($N61="","",IF(AND($N61&gt;='設定'!$C$4,$O61&gt;='設定'!$C$5),IF($Q61&gt;=0,"仕入れOK","OK・下落に弱い"),"見送り"))</f>
        <v/>
      </c>
      <c r="S61" s="9" t="n"/>
      <c r="T61" s="8" t="n"/>
      <c r="U61" s="4" t="n"/>
      <c r="V61" s="8" t="n"/>
      <c r="W61" s="12">
        <f>IF(OR($G61="",$U61=""),"",$U61-$G61-$M61-$J61)</f>
        <v/>
      </c>
      <c r="X61" s="12">
        <f>IF(OR($I61="",$U61=""),"",$I61-$U61)</f>
        <v/>
      </c>
      <c r="Y61" s="11">
        <f>IF(OR($T61="",$V61=""),"",$V61-$T61)</f>
        <v/>
      </c>
      <c r="Z61" s="11">
        <f>IF(OR($S61="未発送",$S61="発送済",$S61="査定済",$S61="入金済"),1,0)</f>
        <v/>
      </c>
      <c r="AA61" s="11">
        <f>IF($U61="",0,1)</f>
        <v/>
      </c>
    </row>
    <row r="62">
      <c r="A62" s="8" t="n"/>
      <c r="B62" s="9" t="n"/>
      <c r="C62" s="10" t="n"/>
      <c r="D62" s="9" t="n"/>
      <c r="E62" s="9" t="n"/>
      <c r="F62" s="9" t="n"/>
      <c r="G62" s="4" t="n"/>
      <c r="H62" s="5" t="n"/>
      <c r="I62" s="4" t="n"/>
      <c r="J62" s="4" t="n"/>
      <c r="K62" s="4" t="n"/>
      <c r="L62" s="11">
        <f>IF($G62="","",IF($F62="",1,MAX(1,COUNTIF($F$6:$F$505,$F62)-COUNTIFS($F$6:$F$505,$F62,$S$6:$S$505,"見送り"))))</f>
        <v/>
      </c>
      <c r="M62" s="12">
        <f>IF($G62="","",IF($K62="",'設定'!$C$6,$K62)/$L62)</f>
        <v/>
      </c>
      <c r="N62" s="12">
        <f>IF(OR($G62="",$I62=""),"",$I62-$G62-$M62-$J62)</f>
        <v/>
      </c>
      <c r="O62" s="13">
        <f>IF($N62="","",IF($G62&gt;0,$N62/$G62,0))</f>
        <v/>
      </c>
      <c r="P62" s="12">
        <f>IF($G62="","",$G62*$H62)</f>
        <v/>
      </c>
      <c r="Q62" s="12">
        <f>IF($N62="","",$N62-$I62*'設定'!$C$7)</f>
        <v/>
      </c>
      <c r="R62" s="14">
        <f>IF($N62="","",IF(AND($N62&gt;='設定'!$C$4,$O62&gt;='設定'!$C$5),IF($Q62&gt;=0,"仕入れOK","OK・下落に弱い"),"見送り"))</f>
        <v/>
      </c>
      <c r="S62" s="9" t="n"/>
      <c r="T62" s="8" t="n"/>
      <c r="U62" s="4" t="n"/>
      <c r="V62" s="8" t="n"/>
      <c r="W62" s="12">
        <f>IF(OR($G62="",$U62=""),"",$U62-$G62-$M62-$J62)</f>
        <v/>
      </c>
      <c r="X62" s="12">
        <f>IF(OR($I62="",$U62=""),"",$I62-$U62)</f>
        <v/>
      </c>
      <c r="Y62" s="11">
        <f>IF(OR($T62="",$V62=""),"",$V62-$T62)</f>
        <v/>
      </c>
      <c r="Z62" s="11">
        <f>IF(OR($S62="未発送",$S62="発送済",$S62="査定済",$S62="入金済"),1,0)</f>
        <v/>
      </c>
      <c r="AA62" s="11">
        <f>IF($U62="",0,1)</f>
        <v/>
      </c>
    </row>
    <row r="63">
      <c r="A63" s="8" t="n"/>
      <c r="B63" s="9" t="n"/>
      <c r="C63" s="10" t="n"/>
      <c r="D63" s="9" t="n"/>
      <c r="E63" s="9" t="n"/>
      <c r="F63" s="9" t="n"/>
      <c r="G63" s="4" t="n"/>
      <c r="H63" s="5" t="n"/>
      <c r="I63" s="4" t="n"/>
      <c r="J63" s="4" t="n"/>
      <c r="K63" s="4" t="n"/>
      <c r="L63" s="11">
        <f>IF($G63="","",IF($F63="",1,MAX(1,COUNTIF($F$6:$F$505,$F63)-COUNTIFS($F$6:$F$505,$F63,$S$6:$S$505,"見送り"))))</f>
        <v/>
      </c>
      <c r="M63" s="12">
        <f>IF($G63="","",IF($K63="",'設定'!$C$6,$K63)/$L63)</f>
        <v/>
      </c>
      <c r="N63" s="12">
        <f>IF(OR($G63="",$I63=""),"",$I63-$G63-$M63-$J63)</f>
        <v/>
      </c>
      <c r="O63" s="13">
        <f>IF($N63="","",IF($G63&gt;0,$N63/$G63,0))</f>
        <v/>
      </c>
      <c r="P63" s="12">
        <f>IF($G63="","",$G63*$H63)</f>
        <v/>
      </c>
      <c r="Q63" s="12">
        <f>IF($N63="","",$N63-$I63*'設定'!$C$7)</f>
        <v/>
      </c>
      <c r="R63" s="14">
        <f>IF($N63="","",IF(AND($N63&gt;='設定'!$C$4,$O63&gt;='設定'!$C$5),IF($Q63&gt;=0,"仕入れOK","OK・下落に弱い"),"見送り"))</f>
        <v/>
      </c>
      <c r="S63" s="9" t="n"/>
      <c r="T63" s="8" t="n"/>
      <c r="U63" s="4" t="n"/>
      <c r="V63" s="8" t="n"/>
      <c r="W63" s="12">
        <f>IF(OR($G63="",$U63=""),"",$U63-$G63-$M63-$J63)</f>
        <v/>
      </c>
      <c r="X63" s="12">
        <f>IF(OR($I63="",$U63=""),"",$I63-$U63)</f>
        <v/>
      </c>
      <c r="Y63" s="11">
        <f>IF(OR($T63="",$V63=""),"",$V63-$T63)</f>
        <v/>
      </c>
      <c r="Z63" s="11">
        <f>IF(OR($S63="未発送",$S63="発送済",$S63="査定済",$S63="入金済"),1,0)</f>
        <v/>
      </c>
      <c r="AA63" s="11">
        <f>IF($U63="",0,1)</f>
        <v/>
      </c>
    </row>
    <row r="64">
      <c r="A64" s="8" t="n"/>
      <c r="B64" s="9" t="n"/>
      <c r="C64" s="10" t="n"/>
      <c r="D64" s="9" t="n"/>
      <c r="E64" s="9" t="n"/>
      <c r="F64" s="9" t="n"/>
      <c r="G64" s="4" t="n"/>
      <c r="H64" s="5" t="n"/>
      <c r="I64" s="4" t="n"/>
      <c r="J64" s="4" t="n"/>
      <c r="K64" s="4" t="n"/>
      <c r="L64" s="11">
        <f>IF($G64="","",IF($F64="",1,MAX(1,COUNTIF($F$6:$F$505,$F64)-COUNTIFS($F$6:$F$505,$F64,$S$6:$S$505,"見送り"))))</f>
        <v/>
      </c>
      <c r="M64" s="12">
        <f>IF($G64="","",IF($K64="",'設定'!$C$6,$K64)/$L64)</f>
        <v/>
      </c>
      <c r="N64" s="12">
        <f>IF(OR($G64="",$I64=""),"",$I64-$G64-$M64-$J64)</f>
        <v/>
      </c>
      <c r="O64" s="13">
        <f>IF($N64="","",IF($G64&gt;0,$N64/$G64,0))</f>
        <v/>
      </c>
      <c r="P64" s="12">
        <f>IF($G64="","",$G64*$H64)</f>
        <v/>
      </c>
      <c r="Q64" s="12">
        <f>IF($N64="","",$N64-$I64*'設定'!$C$7)</f>
        <v/>
      </c>
      <c r="R64" s="14">
        <f>IF($N64="","",IF(AND($N64&gt;='設定'!$C$4,$O64&gt;='設定'!$C$5),IF($Q64&gt;=0,"仕入れOK","OK・下落に弱い"),"見送り"))</f>
        <v/>
      </c>
      <c r="S64" s="9" t="n"/>
      <c r="T64" s="8" t="n"/>
      <c r="U64" s="4" t="n"/>
      <c r="V64" s="8" t="n"/>
      <c r="W64" s="12">
        <f>IF(OR($G64="",$U64=""),"",$U64-$G64-$M64-$J64)</f>
        <v/>
      </c>
      <c r="X64" s="12">
        <f>IF(OR($I64="",$U64=""),"",$I64-$U64)</f>
        <v/>
      </c>
      <c r="Y64" s="11">
        <f>IF(OR($T64="",$V64=""),"",$V64-$T64)</f>
        <v/>
      </c>
      <c r="Z64" s="11">
        <f>IF(OR($S64="未発送",$S64="発送済",$S64="査定済",$S64="入金済"),1,0)</f>
        <v/>
      </c>
      <c r="AA64" s="11">
        <f>IF($U64="",0,1)</f>
        <v/>
      </c>
    </row>
    <row r="65">
      <c r="A65" s="8" t="n"/>
      <c r="B65" s="9" t="n"/>
      <c r="C65" s="10" t="n"/>
      <c r="D65" s="9" t="n"/>
      <c r="E65" s="9" t="n"/>
      <c r="F65" s="9" t="n"/>
      <c r="G65" s="4" t="n"/>
      <c r="H65" s="5" t="n"/>
      <c r="I65" s="4" t="n"/>
      <c r="J65" s="4" t="n"/>
      <c r="K65" s="4" t="n"/>
      <c r="L65" s="11">
        <f>IF($G65="","",IF($F65="",1,MAX(1,COUNTIF($F$6:$F$505,$F65)-COUNTIFS($F$6:$F$505,$F65,$S$6:$S$505,"見送り"))))</f>
        <v/>
      </c>
      <c r="M65" s="12">
        <f>IF($G65="","",IF($K65="",'設定'!$C$6,$K65)/$L65)</f>
        <v/>
      </c>
      <c r="N65" s="12">
        <f>IF(OR($G65="",$I65=""),"",$I65-$G65-$M65-$J65)</f>
        <v/>
      </c>
      <c r="O65" s="13">
        <f>IF($N65="","",IF($G65&gt;0,$N65/$G65,0))</f>
        <v/>
      </c>
      <c r="P65" s="12">
        <f>IF($G65="","",$G65*$H65)</f>
        <v/>
      </c>
      <c r="Q65" s="12">
        <f>IF($N65="","",$N65-$I65*'設定'!$C$7)</f>
        <v/>
      </c>
      <c r="R65" s="14">
        <f>IF($N65="","",IF(AND($N65&gt;='設定'!$C$4,$O65&gt;='設定'!$C$5),IF($Q65&gt;=0,"仕入れOK","OK・下落に弱い"),"見送り"))</f>
        <v/>
      </c>
      <c r="S65" s="9" t="n"/>
      <c r="T65" s="8" t="n"/>
      <c r="U65" s="4" t="n"/>
      <c r="V65" s="8" t="n"/>
      <c r="W65" s="12">
        <f>IF(OR($G65="",$U65=""),"",$U65-$G65-$M65-$J65)</f>
        <v/>
      </c>
      <c r="X65" s="12">
        <f>IF(OR($I65="",$U65=""),"",$I65-$U65)</f>
        <v/>
      </c>
      <c r="Y65" s="11">
        <f>IF(OR($T65="",$V65=""),"",$V65-$T65)</f>
        <v/>
      </c>
      <c r="Z65" s="11">
        <f>IF(OR($S65="未発送",$S65="発送済",$S65="査定済",$S65="入金済"),1,0)</f>
        <v/>
      </c>
      <c r="AA65" s="11">
        <f>IF($U65="",0,1)</f>
        <v/>
      </c>
    </row>
    <row r="66">
      <c r="A66" s="8" t="n"/>
      <c r="B66" s="9" t="n"/>
      <c r="C66" s="10" t="n"/>
      <c r="D66" s="9" t="n"/>
      <c r="E66" s="9" t="n"/>
      <c r="F66" s="9" t="n"/>
      <c r="G66" s="4" t="n"/>
      <c r="H66" s="5" t="n"/>
      <c r="I66" s="4" t="n"/>
      <c r="J66" s="4" t="n"/>
      <c r="K66" s="4" t="n"/>
      <c r="L66" s="11">
        <f>IF($G66="","",IF($F66="",1,MAX(1,COUNTIF($F$6:$F$505,$F66)-COUNTIFS($F$6:$F$505,$F66,$S$6:$S$505,"見送り"))))</f>
        <v/>
      </c>
      <c r="M66" s="12">
        <f>IF($G66="","",IF($K66="",'設定'!$C$6,$K66)/$L66)</f>
        <v/>
      </c>
      <c r="N66" s="12">
        <f>IF(OR($G66="",$I66=""),"",$I66-$G66-$M66-$J66)</f>
        <v/>
      </c>
      <c r="O66" s="13">
        <f>IF($N66="","",IF($G66&gt;0,$N66/$G66,0))</f>
        <v/>
      </c>
      <c r="P66" s="12">
        <f>IF($G66="","",$G66*$H66)</f>
        <v/>
      </c>
      <c r="Q66" s="12">
        <f>IF($N66="","",$N66-$I66*'設定'!$C$7)</f>
        <v/>
      </c>
      <c r="R66" s="14">
        <f>IF($N66="","",IF(AND($N66&gt;='設定'!$C$4,$O66&gt;='設定'!$C$5),IF($Q66&gt;=0,"仕入れOK","OK・下落に弱い"),"見送り"))</f>
        <v/>
      </c>
      <c r="S66" s="9" t="n"/>
      <c r="T66" s="8" t="n"/>
      <c r="U66" s="4" t="n"/>
      <c r="V66" s="8" t="n"/>
      <c r="W66" s="12">
        <f>IF(OR($G66="",$U66=""),"",$U66-$G66-$M66-$J66)</f>
        <v/>
      </c>
      <c r="X66" s="12">
        <f>IF(OR($I66="",$U66=""),"",$I66-$U66)</f>
        <v/>
      </c>
      <c r="Y66" s="11">
        <f>IF(OR($T66="",$V66=""),"",$V66-$T66)</f>
        <v/>
      </c>
      <c r="Z66" s="11">
        <f>IF(OR($S66="未発送",$S66="発送済",$S66="査定済",$S66="入金済"),1,0)</f>
        <v/>
      </c>
      <c r="AA66" s="11">
        <f>IF($U66="",0,1)</f>
        <v/>
      </c>
    </row>
    <row r="67">
      <c r="A67" s="8" t="n"/>
      <c r="B67" s="9" t="n"/>
      <c r="C67" s="10" t="n"/>
      <c r="D67" s="9" t="n"/>
      <c r="E67" s="9" t="n"/>
      <c r="F67" s="9" t="n"/>
      <c r="G67" s="4" t="n"/>
      <c r="H67" s="5" t="n"/>
      <c r="I67" s="4" t="n"/>
      <c r="J67" s="4" t="n"/>
      <c r="K67" s="4" t="n"/>
      <c r="L67" s="11">
        <f>IF($G67="","",IF($F67="",1,MAX(1,COUNTIF($F$6:$F$505,$F67)-COUNTIFS($F$6:$F$505,$F67,$S$6:$S$505,"見送り"))))</f>
        <v/>
      </c>
      <c r="M67" s="12">
        <f>IF($G67="","",IF($K67="",'設定'!$C$6,$K67)/$L67)</f>
        <v/>
      </c>
      <c r="N67" s="12">
        <f>IF(OR($G67="",$I67=""),"",$I67-$G67-$M67-$J67)</f>
        <v/>
      </c>
      <c r="O67" s="13">
        <f>IF($N67="","",IF($G67&gt;0,$N67/$G67,0))</f>
        <v/>
      </c>
      <c r="P67" s="12">
        <f>IF($G67="","",$G67*$H67)</f>
        <v/>
      </c>
      <c r="Q67" s="12">
        <f>IF($N67="","",$N67-$I67*'設定'!$C$7)</f>
        <v/>
      </c>
      <c r="R67" s="14">
        <f>IF($N67="","",IF(AND($N67&gt;='設定'!$C$4,$O67&gt;='設定'!$C$5),IF($Q67&gt;=0,"仕入れOK","OK・下落に弱い"),"見送り"))</f>
        <v/>
      </c>
      <c r="S67" s="9" t="n"/>
      <c r="T67" s="8" t="n"/>
      <c r="U67" s="4" t="n"/>
      <c r="V67" s="8" t="n"/>
      <c r="W67" s="12">
        <f>IF(OR($G67="",$U67=""),"",$U67-$G67-$M67-$J67)</f>
        <v/>
      </c>
      <c r="X67" s="12">
        <f>IF(OR($I67="",$U67=""),"",$I67-$U67)</f>
        <v/>
      </c>
      <c r="Y67" s="11">
        <f>IF(OR($T67="",$V67=""),"",$V67-$T67)</f>
        <v/>
      </c>
      <c r="Z67" s="11">
        <f>IF(OR($S67="未発送",$S67="発送済",$S67="査定済",$S67="入金済"),1,0)</f>
        <v/>
      </c>
      <c r="AA67" s="11">
        <f>IF($U67="",0,1)</f>
        <v/>
      </c>
    </row>
    <row r="68">
      <c r="A68" s="8" t="n"/>
      <c r="B68" s="9" t="n"/>
      <c r="C68" s="10" t="n"/>
      <c r="D68" s="9" t="n"/>
      <c r="E68" s="9" t="n"/>
      <c r="F68" s="9" t="n"/>
      <c r="G68" s="4" t="n"/>
      <c r="H68" s="5" t="n"/>
      <c r="I68" s="4" t="n"/>
      <c r="J68" s="4" t="n"/>
      <c r="K68" s="4" t="n"/>
      <c r="L68" s="11">
        <f>IF($G68="","",IF($F68="",1,MAX(1,COUNTIF($F$6:$F$505,$F68)-COUNTIFS($F$6:$F$505,$F68,$S$6:$S$505,"見送り"))))</f>
        <v/>
      </c>
      <c r="M68" s="12">
        <f>IF($G68="","",IF($K68="",'設定'!$C$6,$K68)/$L68)</f>
        <v/>
      </c>
      <c r="N68" s="12">
        <f>IF(OR($G68="",$I68=""),"",$I68-$G68-$M68-$J68)</f>
        <v/>
      </c>
      <c r="O68" s="13">
        <f>IF($N68="","",IF($G68&gt;0,$N68/$G68,0))</f>
        <v/>
      </c>
      <c r="P68" s="12">
        <f>IF($G68="","",$G68*$H68)</f>
        <v/>
      </c>
      <c r="Q68" s="12">
        <f>IF($N68="","",$N68-$I68*'設定'!$C$7)</f>
        <v/>
      </c>
      <c r="R68" s="14">
        <f>IF($N68="","",IF(AND($N68&gt;='設定'!$C$4,$O68&gt;='設定'!$C$5),IF($Q68&gt;=0,"仕入れOK","OK・下落に弱い"),"見送り"))</f>
        <v/>
      </c>
      <c r="S68" s="9" t="n"/>
      <c r="T68" s="8" t="n"/>
      <c r="U68" s="4" t="n"/>
      <c r="V68" s="8" t="n"/>
      <c r="W68" s="12">
        <f>IF(OR($G68="",$U68=""),"",$U68-$G68-$M68-$J68)</f>
        <v/>
      </c>
      <c r="X68" s="12">
        <f>IF(OR($I68="",$U68=""),"",$I68-$U68)</f>
        <v/>
      </c>
      <c r="Y68" s="11">
        <f>IF(OR($T68="",$V68=""),"",$V68-$T68)</f>
        <v/>
      </c>
      <c r="Z68" s="11">
        <f>IF(OR($S68="未発送",$S68="発送済",$S68="査定済",$S68="入金済"),1,0)</f>
        <v/>
      </c>
      <c r="AA68" s="11">
        <f>IF($U68="",0,1)</f>
        <v/>
      </c>
    </row>
    <row r="69">
      <c r="A69" s="8" t="n"/>
      <c r="B69" s="9" t="n"/>
      <c r="C69" s="10" t="n"/>
      <c r="D69" s="9" t="n"/>
      <c r="E69" s="9" t="n"/>
      <c r="F69" s="9" t="n"/>
      <c r="G69" s="4" t="n"/>
      <c r="H69" s="5" t="n"/>
      <c r="I69" s="4" t="n"/>
      <c r="J69" s="4" t="n"/>
      <c r="K69" s="4" t="n"/>
      <c r="L69" s="11">
        <f>IF($G69="","",IF($F69="",1,MAX(1,COUNTIF($F$6:$F$505,$F69)-COUNTIFS($F$6:$F$505,$F69,$S$6:$S$505,"見送り"))))</f>
        <v/>
      </c>
      <c r="M69" s="12">
        <f>IF($G69="","",IF($K69="",'設定'!$C$6,$K69)/$L69)</f>
        <v/>
      </c>
      <c r="N69" s="12">
        <f>IF(OR($G69="",$I69=""),"",$I69-$G69-$M69-$J69)</f>
        <v/>
      </c>
      <c r="O69" s="13">
        <f>IF($N69="","",IF($G69&gt;0,$N69/$G69,0))</f>
        <v/>
      </c>
      <c r="P69" s="12">
        <f>IF($G69="","",$G69*$H69)</f>
        <v/>
      </c>
      <c r="Q69" s="12">
        <f>IF($N69="","",$N69-$I69*'設定'!$C$7)</f>
        <v/>
      </c>
      <c r="R69" s="14">
        <f>IF($N69="","",IF(AND($N69&gt;='設定'!$C$4,$O69&gt;='設定'!$C$5),IF($Q69&gt;=0,"仕入れOK","OK・下落に弱い"),"見送り"))</f>
        <v/>
      </c>
      <c r="S69" s="9" t="n"/>
      <c r="T69" s="8" t="n"/>
      <c r="U69" s="4" t="n"/>
      <c r="V69" s="8" t="n"/>
      <c r="W69" s="12">
        <f>IF(OR($G69="",$U69=""),"",$U69-$G69-$M69-$J69)</f>
        <v/>
      </c>
      <c r="X69" s="12">
        <f>IF(OR($I69="",$U69=""),"",$I69-$U69)</f>
        <v/>
      </c>
      <c r="Y69" s="11">
        <f>IF(OR($T69="",$V69=""),"",$V69-$T69)</f>
        <v/>
      </c>
      <c r="Z69" s="11">
        <f>IF(OR($S69="未発送",$S69="発送済",$S69="査定済",$S69="入金済"),1,0)</f>
        <v/>
      </c>
      <c r="AA69" s="11">
        <f>IF($U69="",0,1)</f>
        <v/>
      </c>
    </row>
    <row r="70">
      <c r="A70" s="8" t="n"/>
      <c r="B70" s="9" t="n"/>
      <c r="C70" s="10" t="n"/>
      <c r="D70" s="9" t="n"/>
      <c r="E70" s="9" t="n"/>
      <c r="F70" s="9" t="n"/>
      <c r="G70" s="4" t="n"/>
      <c r="H70" s="5" t="n"/>
      <c r="I70" s="4" t="n"/>
      <c r="J70" s="4" t="n"/>
      <c r="K70" s="4" t="n"/>
      <c r="L70" s="11">
        <f>IF($G70="","",IF($F70="",1,MAX(1,COUNTIF($F$6:$F$505,$F70)-COUNTIFS($F$6:$F$505,$F70,$S$6:$S$505,"見送り"))))</f>
        <v/>
      </c>
      <c r="M70" s="12">
        <f>IF($G70="","",IF($K70="",'設定'!$C$6,$K70)/$L70)</f>
        <v/>
      </c>
      <c r="N70" s="12">
        <f>IF(OR($G70="",$I70=""),"",$I70-$G70-$M70-$J70)</f>
        <v/>
      </c>
      <c r="O70" s="13">
        <f>IF($N70="","",IF($G70&gt;0,$N70/$G70,0))</f>
        <v/>
      </c>
      <c r="P70" s="12">
        <f>IF($G70="","",$G70*$H70)</f>
        <v/>
      </c>
      <c r="Q70" s="12">
        <f>IF($N70="","",$N70-$I70*'設定'!$C$7)</f>
        <v/>
      </c>
      <c r="R70" s="14">
        <f>IF($N70="","",IF(AND($N70&gt;='設定'!$C$4,$O70&gt;='設定'!$C$5),IF($Q70&gt;=0,"仕入れOK","OK・下落に弱い"),"見送り"))</f>
        <v/>
      </c>
      <c r="S70" s="9" t="n"/>
      <c r="T70" s="8" t="n"/>
      <c r="U70" s="4" t="n"/>
      <c r="V70" s="8" t="n"/>
      <c r="W70" s="12">
        <f>IF(OR($G70="",$U70=""),"",$U70-$G70-$M70-$J70)</f>
        <v/>
      </c>
      <c r="X70" s="12">
        <f>IF(OR($I70="",$U70=""),"",$I70-$U70)</f>
        <v/>
      </c>
      <c r="Y70" s="11">
        <f>IF(OR($T70="",$V70=""),"",$V70-$T70)</f>
        <v/>
      </c>
      <c r="Z70" s="11">
        <f>IF(OR($S70="未発送",$S70="発送済",$S70="査定済",$S70="入金済"),1,0)</f>
        <v/>
      </c>
      <c r="AA70" s="11">
        <f>IF($U70="",0,1)</f>
        <v/>
      </c>
    </row>
    <row r="71">
      <c r="A71" s="8" t="n"/>
      <c r="B71" s="9" t="n"/>
      <c r="C71" s="10" t="n"/>
      <c r="D71" s="9" t="n"/>
      <c r="E71" s="9" t="n"/>
      <c r="F71" s="9" t="n"/>
      <c r="G71" s="4" t="n"/>
      <c r="H71" s="5" t="n"/>
      <c r="I71" s="4" t="n"/>
      <c r="J71" s="4" t="n"/>
      <c r="K71" s="4" t="n"/>
      <c r="L71" s="11">
        <f>IF($G71="","",IF($F71="",1,MAX(1,COUNTIF($F$6:$F$505,$F71)-COUNTIFS($F$6:$F$505,$F71,$S$6:$S$505,"見送り"))))</f>
        <v/>
      </c>
      <c r="M71" s="12">
        <f>IF($G71="","",IF($K71="",'設定'!$C$6,$K71)/$L71)</f>
        <v/>
      </c>
      <c r="N71" s="12">
        <f>IF(OR($G71="",$I71=""),"",$I71-$G71-$M71-$J71)</f>
        <v/>
      </c>
      <c r="O71" s="13">
        <f>IF($N71="","",IF($G71&gt;0,$N71/$G71,0))</f>
        <v/>
      </c>
      <c r="P71" s="12">
        <f>IF($G71="","",$G71*$H71)</f>
        <v/>
      </c>
      <c r="Q71" s="12">
        <f>IF($N71="","",$N71-$I71*'設定'!$C$7)</f>
        <v/>
      </c>
      <c r="R71" s="14">
        <f>IF($N71="","",IF(AND($N71&gt;='設定'!$C$4,$O71&gt;='設定'!$C$5),IF($Q71&gt;=0,"仕入れOK","OK・下落に弱い"),"見送り"))</f>
        <v/>
      </c>
      <c r="S71" s="9" t="n"/>
      <c r="T71" s="8" t="n"/>
      <c r="U71" s="4" t="n"/>
      <c r="V71" s="8" t="n"/>
      <c r="W71" s="12">
        <f>IF(OR($G71="",$U71=""),"",$U71-$G71-$M71-$J71)</f>
        <v/>
      </c>
      <c r="X71" s="12">
        <f>IF(OR($I71="",$U71=""),"",$I71-$U71)</f>
        <v/>
      </c>
      <c r="Y71" s="11">
        <f>IF(OR($T71="",$V71=""),"",$V71-$T71)</f>
        <v/>
      </c>
      <c r="Z71" s="11">
        <f>IF(OR($S71="未発送",$S71="発送済",$S71="査定済",$S71="入金済"),1,0)</f>
        <v/>
      </c>
      <c r="AA71" s="11">
        <f>IF($U71="",0,1)</f>
        <v/>
      </c>
    </row>
    <row r="72">
      <c r="A72" s="8" t="n"/>
      <c r="B72" s="9" t="n"/>
      <c r="C72" s="10" t="n"/>
      <c r="D72" s="9" t="n"/>
      <c r="E72" s="9" t="n"/>
      <c r="F72" s="9" t="n"/>
      <c r="G72" s="4" t="n"/>
      <c r="H72" s="5" t="n"/>
      <c r="I72" s="4" t="n"/>
      <c r="J72" s="4" t="n"/>
      <c r="K72" s="4" t="n"/>
      <c r="L72" s="11">
        <f>IF($G72="","",IF($F72="",1,MAX(1,COUNTIF($F$6:$F$505,$F72)-COUNTIFS($F$6:$F$505,$F72,$S$6:$S$505,"見送り"))))</f>
        <v/>
      </c>
      <c r="M72" s="12">
        <f>IF($G72="","",IF($K72="",'設定'!$C$6,$K72)/$L72)</f>
        <v/>
      </c>
      <c r="N72" s="12">
        <f>IF(OR($G72="",$I72=""),"",$I72-$G72-$M72-$J72)</f>
        <v/>
      </c>
      <c r="O72" s="13">
        <f>IF($N72="","",IF($G72&gt;0,$N72/$G72,0))</f>
        <v/>
      </c>
      <c r="P72" s="12">
        <f>IF($G72="","",$G72*$H72)</f>
        <v/>
      </c>
      <c r="Q72" s="12">
        <f>IF($N72="","",$N72-$I72*'設定'!$C$7)</f>
        <v/>
      </c>
      <c r="R72" s="14">
        <f>IF($N72="","",IF(AND($N72&gt;='設定'!$C$4,$O72&gt;='設定'!$C$5),IF($Q72&gt;=0,"仕入れOK","OK・下落に弱い"),"見送り"))</f>
        <v/>
      </c>
      <c r="S72" s="9" t="n"/>
      <c r="T72" s="8" t="n"/>
      <c r="U72" s="4" t="n"/>
      <c r="V72" s="8" t="n"/>
      <c r="W72" s="12">
        <f>IF(OR($G72="",$U72=""),"",$U72-$G72-$M72-$J72)</f>
        <v/>
      </c>
      <c r="X72" s="12">
        <f>IF(OR($I72="",$U72=""),"",$I72-$U72)</f>
        <v/>
      </c>
      <c r="Y72" s="11">
        <f>IF(OR($T72="",$V72=""),"",$V72-$T72)</f>
        <v/>
      </c>
      <c r="Z72" s="11">
        <f>IF(OR($S72="未発送",$S72="発送済",$S72="査定済",$S72="入金済"),1,0)</f>
        <v/>
      </c>
      <c r="AA72" s="11">
        <f>IF($U72="",0,1)</f>
        <v/>
      </c>
    </row>
    <row r="73">
      <c r="A73" s="8" t="n"/>
      <c r="B73" s="9" t="n"/>
      <c r="C73" s="10" t="n"/>
      <c r="D73" s="9" t="n"/>
      <c r="E73" s="9" t="n"/>
      <c r="F73" s="9" t="n"/>
      <c r="G73" s="4" t="n"/>
      <c r="H73" s="5" t="n"/>
      <c r="I73" s="4" t="n"/>
      <c r="J73" s="4" t="n"/>
      <c r="K73" s="4" t="n"/>
      <c r="L73" s="11">
        <f>IF($G73="","",IF($F73="",1,MAX(1,COUNTIF($F$6:$F$505,$F73)-COUNTIFS($F$6:$F$505,$F73,$S$6:$S$505,"見送り"))))</f>
        <v/>
      </c>
      <c r="M73" s="12">
        <f>IF($G73="","",IF($K73="",'設定'!$C$6,$K73)/$L73)</f>
        <v/>
      </c>
      <c r="N73" s="12">
        <f>IF(OR($G73="",$I73=""),"",$I73-$G73-$M73-$J73)</f>
        <v/>
      </c>
      <c r="O73" s="13">
        <f>IF($N73="","",IF($G73&gt;0,$N73/$G73,0))</f>
        <v/>
      </c>
      <c r="P73" s="12">
        <f>IF($G73="","",$G73*$H73)</f>
        <v/>
      </c>
      <c r="Q73" s="12">
        <f>IF($N73="","",$N73-$I73*'設定'!$C$7)</f>
        <v/>
      </c>
      <c r="R73" s="14">
        <f>IF($N73="","",IF(AND($N73&gt;='設定'!$C$4,$O73&gt;='設定'!$C$5),IF($Q73&gt;=0,"仕入れOK","OK・下落に弱い"),"見送り"))</f>
        <v/>
      </c>
      <c r="S73" s="9" t="n"/>
      <c r="T73" s="8" t="n"/>
      <c r="U73" s="4" t="n"/>
      <c r="V73" s="8" t="n"/>
      <c r="W73" s="12">
        <f>IF(OR($G73="",$U73=""),"",$U73-$G73-$M73-$J73)</f>
        <v/>
      </c>
      <c r="X73" s="12">
        <f>IF(OR($I73="",$U73=""),"",$I73-$U73)</f>
        <v/>
      </c>
      <c r="Y73" s="11">
        <f>IF(OR($T73="",$V73=""),"",$V73-$T73)</f>
        <v/>
      </c>
      <c r="Z73" s="11">
        <f>IF(OR($S73="未発送",$S73="発送済",$S73="査定済",$S73="入金済"),1,0)</f>
        <v/>
      </c>
      <c r="AA73" s="11">
        <f>IF($U73="",0,1)</f>
        <v/>
      </c>
    </row>
    <row r="74">
      <c r="A74" s="8" t="n"/>
      <c r="B74" s="9" t="n"/>
      <c r="C74" s="10" t="n"/>
      <c r="D74" s="9" t="n"/>
      <c r="E74" s="9" t="n"/>
      <c r="F74" s="9" t="n"/>
      <c r="G74" s="4" t="n"/>
      <c r="H74" s="5" t="n"/>
      <c r="I74" s="4" t="n"/>
      <c r="J74" s="4" t="n"/>
      <c r="K74" s="4" t="n"/>
      <c r="L74" s="11">
        <f>IF($G74="","",IF($F74="",1,MAX(1,COUNTIF($F$6:$F$505,$F74)-COUNTIFS($F$6:$F$505,$F74,$S$6:$S$505,"見送り"))))</f>
        <v/>
      </c>
      <c r="M74" s="12">
        <f>IF($G74="","",IF($K74="",'設定'!$C$6,$K74)/$L74)</f>
        <v/>
      </c>
      <c r="N74" s="12">
        <f>IF(OR($G74="",$I74=""),"",$I74-$G74-$M74-$J74)</f>
        <v/>
      </c>
      <c r="O74" s="13">
        <f>IF($N74="","",IF($G74&gt;0,$N74/$G74,0))</f>
        <v/>
      </c>
      <c r="P74" s="12">
        <f>IF($G74="","",$G74*$H74)</f>
        <v/>
      </c>
      <c r="Q74" s="12">
        <f>IF($N74="","",$N74-$I74*'設定'!$C$7)</f>
        <v/>
      </c>
      <c r="R74" s="14">
        <f>IF($N74="","",IF(AND($N74&gt;='設定'!$C$4,$O74&gt;='設定'!$C$5),IF($Q74&gt;=0,"仕入れOK","OK・下落に弱い"),"見送り"))</f>
        <v/>
      </c>
      <c r="S74" s="9" t="n"/>
      <c r="T74" s="8" t="n"/>
      <c r="U74" s="4" t="n"/>
      <c r="V74" s="8" t="n"/>
      <c r="W74" s="12">
        <f>IF(OR($G74="",$U74=""),"",$U74-$G74-$M74-$J74)</f>
        <v/>
      </c>
      <c r="X74" s="12">
        <f>IF(OR($I74="",$U74=""),"",$I74-$U74)</f>
        <v/>
      </c>
      <c r="Y74" s="11">
        <f>IF(OR($T74="",$V74=""),"",$V74-$T74)</f>
        <v/>
      </c>
      <c r="Z74" s="11">
        <f>IF(OR($S74="未発送",$S74="発送済",$S74="査定済",$S74="入金済"),1,0)</f>
        <v/>
      </c>
      <c r="AA74" s="11">
        <f>IF($U74="",0,1)</f>
        <v/>
      </c>
    </row>
    <row r="75">
      <c r="A75" s="8" t="n"/>
      <c r="B75" s="9" t="n"/>
      <c r="C75" s="10" t="n"/>
      <c r="D75" s="9" t="n"/>
      <c r="E75" s="9" t="n"/>
      <c r="F75" s="9" t="n"/>
      <c r="G75" s="4" t="n"/>
      <c r="H75" s="5" t="n"/>
      <c r="I75" s="4" t="n"/>
      <c r="J75" s="4" t="n"/>
      <c r="K75" s="4" t="n"/>
      <c r="L75" s="11">
        <f>IF($G75="","",IF($F75="",1,MAX(1,COUNTIF($F$6:$F$505,$F75)-COUNTIFS($F$6:$F$505,$F75,$S$6:$S$505,"見送り"))))</f>
        <v/>
      </c>
      <c r="M75" s="12">
        <f>IF($G75="","",IF($K75="",'設定'!$C$6,$K75)/$L75)</f>
        <v/>
      </c>
      <c r="N75" s="12">
        <f>IF(OR($G75="",$I75=""),"",$I75-$G75-$M75-$J75)</f>
        <v/>
      </c>
      <c r="O75" s="13">
        <f>IF($N75="","",IF($G75&gt;0,$N75/$G75,0))</f>
        <v/>
      </c>
      <c r="P75" s="12">
        <f>IF($G75="","",$G75*$H75)</f>
        <v/>
      </c>
      <c r="Q75" s="12">
        <f>IF($N75="","",$N75-$I75*'設定'!$C$7)</f>
        <v/>
      </c>
      <c r="R75" s="14">
        <f>IF($N75="","",IF(AND($N75&gt;='設定'!$C$4,$O75&gt;='設定'!$C$5),IF($Q75&gt;=0,"仕入れOK","OK・下落に弱い"),"見送り"))</f>
        <v/>
      </c>
      <c r="S75" s="9" t="n"/>
      <c r="T75" s="8" t="n"/>
      <c r="U75" s="4" t="n"/>
      <c r="V75" s="8" t="n"/>
      <c r="W75" s="12">
        <f>IF(OR($G75="",$U75=""),"",$U75-$G75-$M75-$J75)</f>
        <v/>
      </c>
      <c r="X75" s="12">
        <f>IF(OR($I75="",$U75=""),"",$I75-$U75)</f>
        <v/>
      </c>
      <c r="Y75" s="11">
        <f>IF(OR($T75="",$V75=""),"",$V75-$T75)</f>
        <v/>
      </c>
      <c r="Z75" s="11">
        <f>IF(OR($S75="未発送",$S75="発送済",$S75="査定済",$S75="入金済"),1,0)</f>
        <v/>
      </c>
      <c r="AA75" s="11">
        <f>IF($U75="",0,1)</f>
        <v/>
      </c>
    </row>
    <row r="76">
      <c r="A76" s="8" t="n"/>
      <c r="B76" s="9" t="n"/>
      <c r="C76" s="10" t="n"/>
      <c r="D76" s="9" t="n"/>
      <c r="E76" s="9" t="n"/>
      <c r="F76" s="9" t="n"/>
      <c r="G76" s="4" t="n"/>
      <c r="H76" s="5" t="n"/>
      <c r="I76" s="4" t="n"/>
      <c r="J76" s="4" t="n"/>
      <c r="K76" s="4" t="n"/>
      <c r="L76" s="11">
        <f>IF($G76="","",IF($F76="",1,MAX(1,COUNTIF($F$6:$F$505,$F76)-COUNTIFS($F$6:$F$505,$F76,$S$6:$S$505,"見送り"))))</f>
        <v/>
      </c>
      <c r="M76" s="12">
        <f>IF($G76="","",IF($K76="",'設定'!$C$6,$K76)/$L76)</f>
        <v/>
      </c>
      <c r="N76" s="12">
        <f>IF(OR($G76="",$I76=""),"",$I76-$G76-$M76-$J76)</f>
        <v/>
      </c>
      <c r="O76" s="13">
        <f>IF($N76="","",IF($G76&gt;0,$N76/$G76,0))</f>
        <v/>
      </c>
      <c r="P76" s="12">
        <f>IF($G76="","",$G76*$H76)</f>
        <v/>
      </c>
      <c r="Q76" s="12">
        <f>IF($N76="","",$N76-$I76*'設定'!$C$7)</f>
        <v/>
      </c>
      <c r="R76" s="14">
        <f>IF($N76="","",IF(AND($N76&gt;='設定'!$C$4,$O76&gt;='設定'!$C$5),IF($Q76&gt;=0,"仕入れOK","OK・下落に弱い"),"見送り"))</f>
        <v/>
      </c>
      <c r="S76" s="9" t="n"/>
      <c r="T76" s="8" t="n"/>
      <c r="U76" s="4" t="n"/>
      <c r="V76" s="8" t="n"/>
      <c r="W76" s="12">
        <f>IF(OR($G76="",$U76=""),"",$U76-$G76-$M76-$J76)</f>
        <v/>
      </c>
      <c r="X76" s="12">
        <f>IF(OR($I76="",$U76=""),"",$I76-$U76)</f>
        <v/>
      </c>
      <c r="Y76" s="11">
        <f>IF(OR($T76="",$V76=""),"",$V76-$T76)</f>
        <v/>
      </c>
      <c r="Z76" s="11">
        <f>IF(OR($S76="未発送",$S76="発送済",$S76="査定済",$S76="入金済"),1,0)</f>
        <v/>
      </c>
      <c r="AA76" s="11">
        <f>IF($U76="",0,1)</f>
        <v/>
      </c>
    </row>
    <row r="77">
      <c r="A77" s="8" t="n"/>
      <c r="B77" s="9" t="n"/>
      <c r="C77" s="10" t="n"/>
      <c r="D77" s="9" t="n"/>
      <c r="E77" s="9" t="n"/>
      <c r="F77" s="9" t="n"/>
      <c r="G77" s="4" t="n"/>
      <c r="H77" s="5" t="n"/>
      <c r="I77" s="4" t="n"/>
      <c r="J77" s="4" t="n"/>
      <c r="K77" s="4" t="n"/>
      <c r="L77" s="11">
        <f>IF($G77="","",IF($F77="",1,MAX(1,COUNTIF($F$6:$F$505,$F77)-COUNTIFS($F$6:$F$505,$F77,$S$6:$S$505,"見送り"))))</f>
        <v/>
      </c>
      <c r="M77" s="12">
        <f>IF($G77="","",IF($K77="",'設定'!$C$6,$K77)/$L77)</f>
        <v/>
      </c>
      <c r="N77" s="12">
        <f>IF(OR($G77="",$I77=""),"",$I77-$G77-$M77-$J77)</f>
        <v/>
      </c>
      <c r="O77" s="13">
        <f>IF($N77="","",IF($G77&gt;0,$N77/$G77,0))</f>
        <v/>
      </c>
      <c r="P77" s="12">
        <f>IF($G77="","",$G77*$H77)</f>
        <v/>
      </c>
      <c r="Q77" s="12">
        <f>IF($N77="","",$N77-$I77*'設定'!$C$7)</f>
        <v/>
      </c>
      <c r="R77" s="14">
        <f>IF($N77="","",IF(AND($N77&gt;='設定'!$C$4,$O77&gt;='設定'!$C$5),IF($Q77&gt;=0,"仕入れOK","OK・下落に弱い"),"見送り"))</f>
        <v/>
      </c>
      <c r="S77" s="9" t="n"/>
      <c r="T77" s="8" t="n"/>
      <c r="U77" s="4" t="n"/>
      <c r="V77" s="8" t="n"/>
      <c r="W77" s="12">
        <f>IF(OR($G77="",$U77=""),"",$U77-$G77-$M77-$J77)</f>
        <v/>
      </c>
      <c r="X77" s="12">
        <f>IF(OR($I77="",$U77=""),"",$I77-$U77)</f>
        <v/>
      </c>
      <c r="Y77" s="11">
        <f>IF(OR($T77="",$V77=""),"",$V77-$T77)</f>
        <v/>
      </c>
      <c r="Z77" s="11">
        <f>IF(OR($S77="未発送",$S77="発送済",$S77="査定済",$S77="入金済"),1,0)</f>
        <v/>
      </c>
      <c r="AA77" s="11">
        <f>IF($U77="",0,1)</f>
        <v/>
      </c>
    </row>
    <row r="78">
      <c r="A78" s="8" t="n"/>
      <c r="B78" s="9" t="n"/>
      <c r="C78" s="10" t="n"/>
      <c r="D78" s="9" t="n"/>
      <c r="E78" s="9" t="n"/>
      <c r="F78" s="9" t="n"/>
      <c r="G78" s="4" t="n"/>
      <c r="H78" s="5" t="n"/>
      <c r="I78" s="4" t="n"/>
      <c r="J78" s="4" t="n"/>
      <c r="K78" s="4" t="n"/>
      <c r="L78" s="11">
        <f>IF($G78="","",IF($F78="",1,MAX(1,COUNTIF($F$6:$F$505,$F78)-COUNTIFS($F$6:$F$505,$F78,$S$6:$S$505,"見送り"))))</f>
        <v/>
      </c>
      <c r="M78" s="12">
        <f>IF($G78="","",IF($K78="",'設定'!$C$6,$K78)/$L78)</f>
        <v/>
      </c>
      <c r="N78" s="12">
        <f>IF(OR($G78="",$I78=""),"",$I78-$G78-$M78-$J78)</f>
        <v/>
      </c>
      <c r="O78" s="13">
        <f>IF($N78="","",IF($G78&gt;0,$N78/$G78,0))</f>
        <v/>
      </c>
      <c r="P78" s="12">
        <f>IF($G78="","",$G78*$H78)</f>
        <v/>
      </c>
      <c r="Q78" s="12">
        <f>IF($N78="","",$N78-$I78*'設定'!$C$7)</f>
        <v/>
      </c>
      <c r="R78" s="14">
        <f>IF($N78="","",IF(AND($N78&gt;='設定'!$C$4,$O78&gt;='設定'!$C$5),IF($Q78&gt;=0,"仕入れOK","OK・下落に弱い"),"見送り"))</f>
        <v/>
      </c>
      <c r="S78" s="9" t="n"/>
      <c r="T78" s="8" t="n"/>
      <c r="U78" s="4" t="n"/>
      <c r="V78" s="8" t="n"/>
      <c r="W78" s="12">
        <f>IF(OR($G78="",$U78=""),"",$U78-$G78-$M78-$J78)</f>
        <v/>
      </c>
      <c r="X78" s="12">
        <f>IF(OR($I78="",$U78=""),"",$I78-$U78)</f>
        <v/>
      </c>
      <c r="Y78" s="11">
        <f>IF(OR($T78="",$V78=""),"",$V78-$T78)</f>
        <v/>
      </c>
      <c r="Z78" s="11">
        <f>IF(OR($S78="未発送",$S78="発送済",$S78="査定済",$S78="入金済"),1,0)</f>
        <v/>
      </c>
      <c r="AA78" s="11">
        <f>IF($U78="",0,1)</f>
        <v/>
      </c>
    </row>
    <row r="79">
      <c r="A79" s="8" t="n"/>
      <c r="B79" s="9" t="n"/>
      <c r="C79" s="10" t="n"/>
      <c r="D79" s="9" t="n"/>
      <c r="E79" s="9" t="n"/>
      <c r="F79" s="9" t="n"/>
      <c r="G79" s="4" t="n"/>
      <c r="H79" s="5" t="n"/>
      <c r="I79" s="4" t="n"/>
      <c r="J79" s="4" t="n"/>
      <c r="K79" s="4" t="n"/>
      <c r="L79" s="11">
        <f>IF($G79="","",IF($F79="",1,MAX(1,COUNTIF($F$6:$F$505,$F79)-COUNTIFS($F$6:$F$505,$F79,$S$6:$S$505,"見送り"))))</f>
        <v/>
      </c>
      <c r="M79" s="12">
        <f>IF($G79="","",IF($K79="",'設定'!$C$6,$K79)/$L79)</f>
        <v/>
      </c>
      <c r="N79" s="12">
        <f>IF(OR($G79="",$I79=""),"",$I79-$G79-$M79-$J79)</f>
        <v/>
      </c>
      <c r="O79" s="13">
        <f>IF($N79="","",IF($G79&gt;0,$N79/$G79,0))</f>
        <v/>
      </c>
      <c r="P79" s="12">
        <f>IF($G79="","",$G79*$H79)</f>
        <v/>
      </c>
      <c r="Q79" s="12">
        <f>IF($N79="","",$N79-$I79*'設定'!$C$7)</f>
        <v/>
      </c>
      <c r="R79" s="14">
        <f>IF($N79="","",IF(AND($N79&gt;='設定'!$C$4,$O79&gt;='設定'!$C$5),IF($Q79&gt;=0,"仕入れOK","OK・下落に弱い"),"見送り"))</f>
        <v/>
      </c>
      <c r="S79" s="9" t="n"/>
      <c r="T79" s="8" t="n"/>
      <c r="U79" s="4" t="n"/>
      <c r="V79" s="8" t="n"/>
      <c r="W79" s="12">
        <f>IF(OR($G79="",$U79=""),"",$U79-$G79-$M79-$J79)</f>
        <v/>
      </c>
      <c r="X79" s="12">
        <f>IF(OR($I79="",$U79=""),"",$I79-$U79)</f>
        <v/>
      </c>
      <c r="Y79" s="11">
        <f>IF(OR($T79="",$V79=""),"",$V79-$T79)</f>
        <v/>
      </c>
      <c r="Z79" s="11">
        <f>IF(OR($S79="未発送",$S79="発送済",$S79="査定済",$S79="入金済"),1,0)</f>
        <v/>
      </c>
      <c r="AA79" s="11">
        <f>IF($U79="",0,1)</f>
        <v/>
      </c>
    </row>
    <row r="80">
      <c r="A80" s="8" t="n"/>
      <c r="B80" s="9" t="n"/>
      <c r="C80" s="10" t="n"/>
      <c r="D80" s="9" t="n"/>
      <c r="E80" s="9" t="n"/>
      <c r="F80" s="9" t="n"/>
      <c r="G80" s="4" t="n"/>
      <c r="H80" s="5" t="n"/>
      <c r="I80" s="4" t="n"/>
      <c r="J80" s="4" t="n"/>
      <c r="K80" s="4" t="n"/>
      <c r="L80" s="11">
        <f>IF($G80="","",IF($F80="",1,MAX(1,COUNTIF($F$6:$F$505,$F80)-COUNTIFS($F$6:$F$505,$F80,$S$6:$S$505,"見送り"))))</f>
        <v/>
      </c>
      <c r="M80" s="12">
        <f>IF($G80="","",IF($K80="",'設定'!$C$6,$K80)/$L80)</f>
        <v/>
      </c>
      <c r="N80" s="12">
        <f>IF(OR($G80="",$I80=""),"",$I80-$G80-$M80-$J80)</f>
        <v/>
      </c>
      <c r="O80" s="13">
        <f>IF($N80="","",IF($G80&gt;0,$N80/$G80,0))</f>
        <v/>
      </c>
      <c r="P80" s="12">
        <f>IF($G80="","",$G80*$H80)</f>
        <v/>
      </c>
      <c r="Q80" s="12">
        <f>IF($N80="","",$N80-$I80*'設定'!$C$7)</f>
        <v/>
      </c>
      <c r="R80" s="14">
        <f>IF($N80="","",IF(AND($N80&gt;='設定'!$C$4,$O80&gt;='設定'!$C$5),IF($Q80&gt;=0,"仕入れOK","OK・下落に弱い"),"見送り"))</f>
        <v/>
      </c>
      <c r="S80" s="9" t="n"/>
      <c r="T80" s="8" t="n"/>
      <c r="U80" s="4" t="n"/>
      <c r="V80" s="8" t="n"/>
      <c r="W80" s="12">
        <f>IF(OR($G80="",$U80=""),"",$U80-$G80-$M80-$J80)</f>
        <v/>
      </c>
      <c r="X80" s="12">
        <f>IF(OR($I80="",$U80=""),"",$I80-$U80)</f>
        <v/>
      </c>
      <c r="Y80" s="11">
        <f>IF(OR($T80="",$V80=""),"",$V80-$T80)</f>
        <v/>
      </c>
      <c r="Z80" s="11">
        <f>IF(OR($S80="未発送",$S80="発送済",$S80="査定済",$S80="入金済"),1,0)</f>
        <v/>
      </c>
      <c r="AA80" s="11">
        <f>IF($U80="",0,1)</f>
        <v/>
      </c>
    </row>
    <row r="81">
      <c r="A81" s="8" t="n"/>
      <c r="B81" s="9" t="n"/>
      <c r="C81" s="10" t="n"/>
      <c r="D81" s="9" t="n"/>
      <c r="E81" s="9" t="n"/>
      <c r="F81" s="9" t="n"/>
      <c r="G81" s="4" t="n"/>
      <c r="H81" s="5" t="n"/>
      <c r="I81" s="4" t="n"/>
      <c r="J81" s="4" t="n"/>
      <c r="K81" s="4" t="n"/>
      <c r="L81" s="11">
        <f>IF($G81="","",IF($F81="",1,MAX(1,COUNTIF($F$6:$F$505,$F81)-COUNTIFS($F$6:$F$505,$F81,$S$6:$S$505,"見送り"))))</f>
        <v/>
      </c>
      <c r="M81" s="12">
        <f>IF($G81="","",IF($K81="",'設定'!$C$6,$K81)/$L81)</f>
        <v/>
      </c>
      <c r="N81" s="12">
        <f>IF(OR($G81="",$I81=""),"",$I81-$G81-$M81-$J81)</f>
        <v/>
      </c>
      <c r="O81" s="13">
        <f>IF($N81="","",IF($G81&gt;0,$N81/$G81,0))</f>
        <v/>
      </c>
      <c r="P81" s="12">
        <f>IF($G81="","",$G81*$H81)</f>
        <v/>
      </c>
      <c r="Q81" s="12">
        <f>IF($N81="","",$N81-$I81*'設定'!$C$7)</f>
        <v/>
      </c>
      <c r="R81" s="14">
        <f>IF($N81="","",IF(AND($N81&gt;='設定'!$C$4,$O81&gt;='設定'!$C$5),IF($Q81&gt;=0,"仕入れOK","OK・下落に弱い"),"見送り"))</f>
        <v/>
      </c>
      <c r="S81" s="9" t="n"/>
      <c r="T81" s="8" t="n"/>
      <c r="U81" s="4" t="n"/>
      <c r="V81" s="8" t="n"/>
      <c r="W81" s="12">
        <f>IF(OR($G81="",$U81=""),"",$U81-$G81-$M81-$J81)</f>
        <v/>
      </c>
      <c r="X81" s="12">
        <f>IF(OR($I81="",$U81=""),"",$I81-$U81)</f>
        <v/>
      </c>
      <c r="Y81" s="11">
        <f>IF(OR($T81="",$V81=""),"",$V81-$T81)</f>
        <v/>
      </c>
      <c r="Z81" s="11">
        <f>IF(OR($S81="未発送",$S81="発送済",$S81="査定済",$S81="入金済"),1,0)</f>
        <v/>
      </c>
      <c r="AA81" s="11">
        <f>IF($U81="",0,1)</f>
        <v/>
      </c>
    </row>
    <row r="82">
      <c r="A82" s="8" t="n"/>
      <c r="B82" s="9" t="n"/>
      <c r="C82" s="10" t="n"/>
      <c r="D82" s="9" t="n"/>
      <c r="E82" s="9" t="n"/>
      <c r="F82" s="9" t="n"/>
      <c r="G82" s="4" t="n"/>
      <c r="H82" s="5" t="n"/>
      <c r="I82" s="4" t="n"/>
      <c r="J82" s="4" t="n"/>
      <c r="K82" s="4" t="n"/>
      <c r="L82" s="11">
        <f>IF($G82="","",IF($F82="",1,MAX(1,COUNTIF($F$6:$F$505,$F82)-COUNTIFS($F$6:$F$505,$F82,$S$6:$S$505,"見送り"))))</f>
        <v/>
      </c>
      <c r="M82" s="12">
        <f>IF($G82="","",IF($K82="",'設定'!$C$6,$K82)/$L82)</f>
        <v/>
      </c>
      <c r="N82" s="12">
        <f>IF(OR($G82="",$I82=""),"",$I82-$G82-$M82-$J82)</f>
        <v/>
      </c>
      <c r="O82" s="13">
        <f>IF($N82="","",IF($G82&gt;0,$N82/$G82,0))</f>
        <v/>
      </c>
      <c r="P82" s="12">
        <f>IF($G82="","",$G82*$H82)</f>
        <v/>
      </c>
      <c r="Q82" s="12">
        <f>IF($N82="","",$N82-$I82*'設定'!$C$7)</f>
        <v/>
      </c>
      <c r="R82" s="14">
        <f>IF($N82="","",IF(AND($N82&gt;='設定'!$C$4,$O82&gt;='設定'!$C$5),IF($Q82&gt;=0,"仕入れOK","OK・下落に弱い"),"見送り"))</f>
        <v/>
      </c>
      <c r="S82" s="9" t="n"/>
      <c r="T82" s="8" t="n"/>
      <c r="U82" s="4" t="n"/>
      <c r="V82" s="8" t="n"/>
      <c r="W82" s="12">
        <f>IF(OR($G82="",$U82=""),"",$U82-$G82-$M82-$J82)</f>
        <v/>
      </c>
      <c r="X82" s="12">
        <f>IF(OR($I82="",$U82=""),"",$I82-$U82)</f>
        <v/>
      </c>
      <c r="Y82" s="11">
        <f>IF(OR($T82="",$V82=""),"",$V82-$T82)</f>
        <v/>
      </c>
      <c r="Z82" s="11">
        <f>IF(OR($S82="未発送",$S82="発送済",$S82="査定済",$S82="入金済"),1,0)</f>
        <v/>
      </c>
      <c r="AA82" s="11">
        <f>IF($U82="",0,1)</f>
        <v/>
      </c>
    </row>
    <row r="83">
      <c r="A83" s="8" t="n"/>
      <c r="B83" s="9" t="n"/>
      <c r="C83" s="10" t="n"/>
      <c r="D83" s="9" t="n"/>
      <c r="E83" s="9" t="n"/>
      <c r="F83" s="9" t="n"/>
      <c r="G83" s="4" t="n"/>
      <c r="H83" s="5" t="n"/>
      <c r="I83" s="4" t="n"/>
      <c r="J83" s="4" t="n"/>
      <c r="K83" s="4" t="n"/>
      <c r="L83" s="11">
        <f>IF($G83="","",IF($F83="",1,MAX(1,COUNTIF($F$6:$F$505,$F83)-COUNTIFS($F$6:$F$505,$F83,$S$6:$S$505,"見送り"))))</f>
        <v/>
      </c>
      <c r="M83" s="12">
        <f>IF($G83="","",IF($K83="",'設定'!$C$6,$K83)/$L83)</f>
        <v/>
      </c>
      <c r="N83" s="12">
        <f>IF(OR($G83="",$I83=""),"",$I83-$G83-$M83-$J83)</f>
        <v/>
      </c>
      <c r="O83" s="13">
        <f>IF($N83="","",IF($G83&gt;0,$N83/$G83,0))</f>
        <v/>
      </c>
      <c r="P83" s="12">
        <f>IF($G83="","",$G83*$H83)</f>
        <v/>
      </c>
      <c r="Q83" s="12">
        <f>IF($N83="","",$N83-$I83*'設定'!$C$7)</f>
        <v/>
      </c>
      <c r="R83" s="14">
        <f>IF($N83="","",IF(AND($N83&gt;='設定'!$C$4,$O83&gt;='設定'!$C$5),IF($Q83&gt;=0,"仕入れOK","OK・下落に弱い"),"見送り"))</f>
        <v/>
      </c>
      <c r="S83" s="9" t="n"/>
      <c r="T83" s="8" t="n"/>
      <c r="U83" s="4" t="n"/>
      <c r="V83" s="8" t="n"/>
      <c r="W83" s="12">
        <f>IF(OR($G83="",$U83=""),"",$U83-$G83-$M83-$J83)</f>
        <v/>
      </c>
      <c r="X83" s="12">
        <f>IF(OR($I83="",$U83=""),"",$I83-$U83)</f>
        <v/>
      </c>
      <c r="Y83" s="11">
        <f>IF(OR($T83="",$V83=""),"",$V83-$T83)</f>
        <v/>
      </c>
      <c r="Z83" s="11">
        <f>IF(OR($S83="未発送",$S83="発送済",$S83="査定済",$S83="入金済"),1,0)</f>
        <v/>
      </c>
      <c r="AA83" s="11">
        <f>IF($U83="",0,1)</f>
        <v/>
      </c>
    </row>
    <row r="84">
      <c r="A84" s="8" t="n"/>
      <c r="B84" s="9" t="n"/>
      <c r="C84" s="10" t="n"/>
      <c r="D84" s="9" t="n"/>
      <c r="E84" s="9" t="n"/>
      <c r="F84" s="9" t="n"/>
      <c r="G84" s="4" t="n"/>
      <c r="H84" s="5" t="n"/>
      <c r="I84" s="4" t="n"/>
      <c r="J84" s="4" t="n"/>
      <c r="K84" s="4" t="n"/>
      <c r="L84" s="11">
        <f>IF($G84="","",IF($F84="",1,MAX(1,COUNTIF($F$6:$F$505,$F84)-COUNTIFS($F$6:$F$505,$F84,$S$6:$S$505,"見送り"))))</f>
        <v/>
      </c>
      <c r="M84" s="12">
        <f>IF($G84="","",IF($K84="",'設定'!$C$6,$K84)/$L84)</f>
        <v/>
      </c>
      <c r="N84" s="12">
        <f>IF(OR($G84="",$I84=""),"",$I84-$G84-$M84-$J84)</f>
        <v/>
      </c>
      <c r="O84" s="13">
        <f>IF($N84="","",IF($G84&gt;0,$N84/$G84,0))</f>
        <v/>
      </c>
      <c r="P84" s="12">
        <f>IF($G84="","",$G84*$H84)</f>
        <v/>
      </c>
      <c r="Q84" s="12">
        <f>IF($N84="","",$N84-$I84*'設定'!$C$7)</f>
        <v/>
      </c>
      <c r="R84" s="14">
        <f>IF($N84="","",IF(AND($N84&gt;='設定'!$C$4,$O84&gt;='設定'!$C$5),IF($Q84&gt;=0,"仕入れOK","OK・下落に弱い"),"見送り"))</f>
        <v/>
      </c>
      <c r="S84" s="9" t="n"/>
      <c r="T84" s="8" t="n"/>
      <c r="U84" s="4" t="n"/>
      <c r="V84" s="8" t="n"/>
      <c r="W84" s="12">
        <f>IF(OR($G84="",$U84=""),"",$U84-$G84-$M84-$J84)</f>
        <v/>
      </c>
      <c r="X84" s="12">
        <f>IF(OR($I84="",$U84=""),"",$I84-$U84)</f>
        <v/>
      </c>
      <c r="Y84" s="11">
        <f>IF(OR($T84="",$V84=""),"",$V84-$T84)</f>
        <v/>
      </c>
      <c r="Z84" s="11">
        <f>IF(OR($S84="未発送",$S84="発送済",$S84="査定済",$S84="入金済"),1,0)</f>
        <v/>
      </c>
      <c r="AA84" s="11">
        <f>IF($U84="",0,1)</f>
        <v/>
      </c>
    </row>
    <row r="85">
      <c r="A85" s="8" t="n"/>
      <c r="B85" s="9" t="n"/>
      <c r="C85" s="10" t="n"/>
      <c r="D85" s="9" t="n"/>
      <c r="E85" s="9" t="n"/>
      <c r="F85" s="9" t="n"/>
      <c r="G85" s="4" t="n"/>
      <c r="H85" s="5" t="n"/>
      <c r="I85" s="4" t="n"/>
      <c r="J85" s="4" t="n"/>
      <c r="K85" s="4" t="n"/>
      <c r="L85" s="11">
        <f>IF($G85="","",IF($F85="",1,MAX(1,COUNTIF($F$6:$F$505,$F85)-COUNTIFS($F$6:$F$505,$F85,$S$6:$S$505,"見送り"))))</f>
        <v/>
      </c>
      <c r="M85" s="12">
        <f>IF($G85="","",IF($K85="",'設定'!$C$6,$K85)/$L85)</f>
        <v/>
      </c>
      <c r="N85" s="12">
        <f>IF(OR($G85="",$I85=""),"",$I85-$G85-$M85-$J85)</f>
        <v/>
      </c>
      <c r="O85" s="13">
        <f>IF($N85="","",IF($G85&gt;0,$N85/$G85,0))</f>
        <v/>
      </c>
      <c r="P85" s="12">
        <f>IF($G85="","",$G85*$H85)</f>
        <v/>
      </c>
      <c r="Q85" s="12">
        <f>IF($N85="","",$N85-$I85*'設定'!$C$7)</f>
        <v/>
      </c>
      <c r="R85" s="14">
        <f>IF($N85="","",IF(AND($N85&gt;='設定'!$C$4,$O85&gt;='設定'!$C$5),IF($Q85&gt;=0,"仕入れOK","OK・下落に弱い"),"見送り"))</f>
        <v/>
      </c>
      <c r="S85" s="9" t="n"/>
      <c r="T85" s="8" t="n"/>
      <c r="U85" s="4" t="n"/>
      <c r="V85" s="8" t="n"/>
      <c r="W85" s="12">
        <f>IF(OR($G85="",$U85=""),"",$U85-$G85-$M85-$J85)</f>
        <v/>
      </c>
      <c r="X85" s="12">
        <f>IF(OR($I85="",$U85=""),"",$I85-$U85)</f>
        <v/>
      </c>
      <c r="Y85" s="11">
        <f>IF(OR($T85="",$V85=""),"",$V85-$T85)</f>
        <v/>
      </c>
      <c r="Z85" s="11">
        <f>IF(OR($S85="未発送",$S85="発送済",$S85="査定済",$S85="入金済"),1,0)</f>
        <v/>
      </c>
      <c r="AA85" s="11">
        <f>IF($U85="",0,1)</f>
        <v/>
      </c>
    </row>
    <row r="86">
      <c r="A86" s="8" t="n"/>
      <c r="B86" s="9" t="n"/>
      <c r="C86" s="10" t="n"/>
      <c r="D86" s="9" t="n"/>
      <c r="E86" s="9" t="n"/>
      <c r="F86" s="9" t="n"/>
      <c r="G86" s="4" t="n"/>
      <c r="H86" s="5" t="n"/>
      <c r="I86" s="4" t="n"/>
      <c r="J86" s="4" t="n"/>
      <c r="K86" s="4" t="n"/>
      <c r="L86" s="11">
        <f>IF($G86="","",IF($F86="",1,MAX(1,COUNTIF($F$6:$F$505,$F86)-COUNTIFS($F$6:$F$505,$F86,$S$6:$S$505,"見送り"))))</f>
        <v/>
      </c>
      <c r="M86" s="12">
        <f>IF($G86="","",IF($K86="",'設定'!$C$6,$K86)/$L86)</f>
        <v/>
      </c>
      <c r="N86" s="12">
        <f>IF(OR($G86="",$I86=""),"",$I86-$G86-$M86-$J86)</f>
        <v/>
      </c>
      <c r="O86" s="13">
        <f>IF($N86="","",IF($G86&gt;0,$N86/$G86,0))</f>
        <v/>
      </c>
      <c r="P86" s="12">
        <f>IF($G86="","",$G86*$H86)</f>
        <v/>
      </c>
      <c r="Q86" s="12">
        <f>IF($N86="","",$N86-$I86*'設定'!$C$7)</f>
        <v/>
      </c>
      <c r="R86" s="14">
        <f>IF($N86="","",IF(AND($N86&gt;='設定'!$C$4,$O86&gt;='設定'!$C$5),IF($Q86&gt;=0,"仕入れOK","OK・下落に弱い"),"見送り"))</f>
        <v/>
      </c>
      <c r="S86" s="9" t="n"/>
      <c r="T86" s="8" t="n"/>
      <c r="U86" s="4" t="n"/>
      <c r="V86" s="8" t="n"/>
      <c r="W86" s="12">
        <f>IF(OR($G86="",$U86=""),"",$U86-$G86-$M86-$J86)</f>
        <v/>
      </c>
      <c r="X86" s="12">
        <f>IF(OR($I86="",$U86=""),"",$I86-$U86)</f>
        <v/>
      </c>
      <c r="Y86" s="11">
        <f>IF(OR($T86="",$V86=""),"",$V86-$T86)</f>
        <v/>
      </c>
      <c r="Z86" s="11">
        <f>IF(OR($S86="未発送",$S86="発送済",$S86="査定済",$S86="入金済"),1,0)</f>
        <v/>
      </c>
      <c r="AA86" s="11">
        <f>IF($U86="",0,1)</f>
        <v/>
      </c>
    </row>
    <row r="87">
      <c r="A87" s="8" t="n"/>
      <c r="B87" s="9" t="n"/>
      <c r="C87" s="10" t="n"/>
      <c r="D87" s="9" t="n"/>
      <c r="E87" s="9" t="n"/>
      <c r="F87" s="9" t="n"/>
      <c r="G87" s="4" t="n"/>
      <c r="H87" s="5" t="n"/>
      <c r="I87" s="4" t="n"/>
      <c r="J87" s="4" t="n"/>
      <c r="K87" s="4" t="n"/>
      <c r="L87" s="11">
        <f>IF($G87="","",IF($F87="",1,MAX(1,COUNTIF($F$6:$F$505,$F87)-COUNTIFS($F$6:$F$505,$F87,$S$6:$S$505,"見送り"))))</f>
        <v/>
      </c>
      <c r="M87" s="12">
        <f>IF($G87="","",IF($K87="",'設定'!$C$6,$K87)/$L87)</f>
        <v/>
      </c>
      <c r="N87" s="12">
        <f>IF(OR($G87="",$I87=""),"",$I87-$G87-$M87-$J87)</f>
        <v/>
      </c>
      <c r="O87" s="13">
        <f>IF($N87="","",IF($G87&gt;0,$N87/$G87,0))</f>
        <v/>
      </c>
      <c r="P87" s="12">
        <f>IF($G87="","",$G87*$H87)</f>
        <v/>
      </c>
      <c r="Q87" s="12">
        <f>IF($N87="","",$N87-$I87*'設定'!$C$7)</f>
        <v/>
      </c>
      <c r="R87" s="14">
        <f>IF($N87="","",IF(AND($N87&gt;='設定'!$C$4,$O87&gt;='設定'!$C$5),IF($Q87&gt;=0,"仕入れOK","OK・下落に弱い"),"見送り"))</f>
        <v/>
      </c>
      <c r="S87" s="9" t="n"/>
      <c r="T87" s="8" t="n"/>
      <c r="U87" s="4" t="n"/>
      <c r="V87" s="8" t="n"/>
      <c r="W87" s="12">
        <f>IF(OR($G87="",$U87=""),"",$U87-$G87-$M87-$J87)</f>
        <v/>
      </c>
      <c r="X87" s="12">
        <f>IF(OR($I87="",$U87=""),"",$I87-$U87)</f>
        <v/>
      </c>
      <c r="Y87" s="11">
        <f>IF(OR($T87="",$V87=""),"",$V87-$T87)</f>
        <v/>
      </c>
      <c r="Z87" s="11">
        <f>IF(OR($S87="未発送",$S87="発送済",$S87="査定済",$S87="入金済"),1,0)</f>
        <v/>
      </c>
      <c r="AA87" s="11">
        <f>IF($U87="",0,1)</f>
        <v/>
      </c>
    </row>
    <row r="88">
      <c r="A88" s="8" t="n"/>
      <c r="B88" s="9" t="n"/>
      <c r="C88" s="10" t="n"/>
      <c r="D88" s="9" t="n"/>
      <c r="E88" s="9" t="n"/>
      <c r="F88" s="9" t="n"/>
      <c r="G88" s="4" t="n"/>
      <c r="H88" s="5" t="n"/>
      <c r="I88" s="4" t="n"/>
      <c r="J88" s="4" t="n"/>
      <c r="K88" s="4" t="n"/>
      <c r="L88" s="11">
        <f>IF($G88="","",IF($F88="",1,MAX(1,COUNTIF($F$6:$F$505,$F88)-COUNTIFS($F$6:$F$505,$F88,$S$6:$S$505,"見送り"))))</f>
        <v/>
      </c>
      <c r="M88" s="12">
        <f>IF($G88="","",IF($K88="",'設定'!$C$6,$K88)/$L88)</f>
        <v/>
      </c>
      <c r="N88" s="12">
        <f>IF(OR($G88="",$I88=""),"",$I88-$G88-$M88-$J88)</f>
        <v/>
      </c>
      <c r="O88" s="13">
        <f>IF($N88="","",IF($G88&gt;0,$N88/$G88,0))</f>
        <v/>
      </c>
      <c r="P88" s="12">
        <f>IF($G88="","",$G88*$H88)</f>
        <v/>
      </c>
      <c r="Q88" s="12">
        <f>IF($N88="","",$N88-$I88*'設定'!$C$7)</f>
        <v/>
      </c>
      <c r="R88" s="14">
        <f>IF($N88="","",IF(AND($N88&gt;='設定'!$C$4,$O88&gt;='設定'!$C$5),IF($Q88&gt;=0,"仕入れOK","OK・下落に弱い"),"見送り"))</f>
        <v/>
      </c>
      <c r="S88" s="9" t="n"/>
      <c r="T88" s="8" t="n"/>
      <c r="U88" s="4" t="n"/>
      <c r="V88" s="8" t="n"/>
      <c r="W88" s="12">
        <f>IF(OR($G88="",$U88=""),"",$U88-$G88-$M88-$J88)</f>
        <v/>
      </c>
      <c r="X88" s="12">
        <f>IF(OR($I88="",$U88=""),"",$I88-$U88)</f>
        <v/>
      </c>
      <c r="Y88" s="11">
        <f>IF(OR($T88="",$V88=""),"",$V88-$T88)</f>
        <v/>
      </c>
      <c r="Z88" s="11">
        <f>IF(OR($S88="未発送",$S88="発送済",$S88="査定済",$S88="入金済"),1,0)</f>
        <v/>
      </c>
      <c r="AA88" s="11">
        <f>IF($U88="",0,1)</f>
        <v/>
      </c>
    </row>
    <row r="89">
      <c r="A89" s="8" t="n"/>
      <c r="B89" s="9" t="n"/>
      <c r="C89" s="10" t="n"/>
      <c r="D89" s="9" t="n"/>
      <c r="E89" s="9" t="n"/>
      <c r="F89" s="9" t="n"/>
      <c r="G89" s="4" t="n"/>
      <c r="H89" s="5" t="n"/>
      <c r="I89" s="4" t="n"/>
      <c r="J89" s="4" t="n"/>
      <c r="K89" s="4" t="n"/>
      <c r="L89" s="11">
        <f>IF($G89="","",IF($F89="",1,MAX(1,COUNTIF($F$6:$F$505,$F89)-COUNTIFS($F$6:$F$505,$F89,$S$6:$S$505,"見送り"))))</f>
        <v/>
      </c>
      <c r="M89" s="12">
        <f>IF($G89="","",IF($K89="",'設定'!$C$6,$K89)/$L89)</f>
        <v/>
      </c>
      <c r="N89" s="12">
        <f>IF(OR($G89="",$I89=""),"",$I89-$G89-$M89-$J89)</f>
        <v/>
      </c>
      <c r="O89" s="13">
        <f>IF($N89="","",IF($G89&gt;0,$N89/$G89,0))</f>
        <v/>
      </c>
      <c r="P89" s="12">
        <f>IF($G89="","",$G89*$H89)</f>
        <v/>
      </c>
      <c r="Q89" s="12">
        <f>IF($N89="","",$N89-$I89*'設定'!$C$7)</f>
        <v/>
      </c>
      <c r="R89" s="14">
        <f>IF($N89="","",IF(AND($N89&gt;='設定'!$C$4,$O89&gt;='設定'!$C$5),IF($Q89&gt;=0,"仕入れOK","OK・下落に弱い"),"見送り"))</f>
        <v/>
      </c>
      <c r="S89" s="9" t="n"/>
      <c r="T89" s="8" t="n"/>
      <c r="U89" s="4" t="n"/>
      <c r="V89" s="8" t="n"/>
      <c r="W89" s="12">
        <f>IF(OR($G89="",$U89=""),"",$U89-$G89-$M89-$J89)</f>
        <v/>
      </c>
      <c r="X89" s="12">
        <f>IF(OR($I89="",$U89=""),"",$I89-$U89)</f>
        <v/>
      </c>
      <c r="Y89" s="11">
        <f>IF(OR($T89="",$V89=""),"",$V89-$T89)</f>
        <v/>
      </c>
      <c r="Z89" s="11">
        <f>IF(OR($S89="未発送",$S89="発送済",$S89="査定済",$S89="入金済"),1,0)</f>
        <v/>
      </c>
      <c r="AA89" s="11">
        <f>IF($U89="",0,1)</f>
        <v/>
      </c>
    </row>
    <row r="90">
      <c r="A90" s="8" t="n"/>
      <c r="B90" s="9" t="n"/>
      <c r="C90" s="10" t="n"/>
      <c r="D90" s="9" t="n"/>
      <c r="E90" s="9" t="n"/>
      <c r="F90" s="9" t="n"/>
      <c r="G90" s="4" t="n"/>
      <c r="H90" s="5" t="n"/>
      <c r="I90" s="4" t="n"/>
      <c r="J90" s="4" t="n"/>
      <c r="K90" s="4" t="n"/>
      <c r="L90" s="11">
        <f>IF($G90="","",IF($F90="",1,MAX(1,COUNTIF($F$6:$F$505,$F90)-COUNTIFS($F$6:$F$505,$F90,$S$6:$S$505,"見送り"))))</f>
        <v/>
      </c>
      <c r="M90" s="12">
        <f>IF($G90="","",IF($K90="",'設定'!$C$6,$K90)/$L90)</f>
        <v/>
      </c>
      <c r="N90" s="12">
        <f>IF(OR($G90="",$I90=""),"",$I90-$G90-$M90-$J90)</f>
        <v/>
      </c>
      <c r="O90" s="13">
        <f>IF($N90="","",IF($G90&gt;0,$N90/$G90,0))</f>
        <v/>
      </c>
      <c r="P90" s="12">
        <f>IF($G90="","",$G90*$H90)</f>
        <v/>
      </c>
      <c r="Q90" s="12">
        <f>IF($N90="","",$N90-$I90*'設定'!$C$7)</f>
        <v/>
      </c>
      <c r="R90" s="14">
        <f>IF($N90="","",IF(AND($N90&gt;='設定'!$C$4,$O90&gt;='設定'!$C$5),IF($Q90&gt;=0,"仕入れOK","OK・下落に弱い"),"見送り"))</f>
        <v/>
      </c>
      <c r="S90" s="9" t="n"/>
      <c r="T90" s="8" t="n"/>
      <c r="U90" s="4" t="n"/>
      <c r="V90" s="8" t="n"/>
      <c r="W90" s="12">
        <f>IF(OR($G90="",$U90=""),"",$U90-$G90-$M90-$J90)</f>
        <v/>
      </c>
      <c r="X90" s="12">
        <f>IF(OR($I90="",$U90=""),"",$I90-$U90)</f>
        <v/>
      </c>
      <c r="Y90" s="11">
        <f>IF(OR($T90="",$V90=""),"",$V90-$T90)</f>
        <v/>
      </c>
      <c r="Z90" s="11">
        <f>IF(OR($S90="未発送",$S90="発送済",$S90="査定済",$S90="入金済"),1,0)</f>
        <v/>
      </c>
      <c r="AA90" s="11">
        <f>IF($U90="",0,1)</f>
        <v/>
      </c>
    </row>
    <row r="91">
      <c r="A91" s="8" t="n"/>
      <c r="B91" s="9" t="n"/>
      <c r="C91" s="10" t="n"/>
      <c r="D91" s="9" t="n"/>
      <c r="E91" s="9" t="n"/>
      <c r="F91" s="9" t="n"/>
      <c r="G91" s="4" t="n"/>
      <c r="H91" s="5" t="n"/>
      <c r="I91" s="4" t="n"/>
      <c r="J91" s="4" t="n"/>
      <c r="K91" s="4" t="n"/>
      <c r="L91" s="11">
        <f>IF($G91="","",IF($F91="",1,MAX(1,COUNTIF($F$6:$F$505,$F91)-COUNTIFS($F$6:$F$505,$F91,$S$6:$S$505,"見送り"))))</f>
        <v/>
      </c>
      <c r="M91" s="12">
        <f>IF($G91="","",IF($K91="",'設定'!$C$6,$K91)/$L91)</f>
        <v/>
      </c>
      <c r="N91" s="12">
        <f>IF(OR($G91="",$I91=""),"",$I91-$G91-$M91-$J91)</f>
        <v/>
      </c>
      <c r="O91" s="13">
        <f>IF($N91="","",IF($G91&gt;0,$N91/$G91,0))</f>
        <v/>
      </c>
      <c r="P91" s="12">
        <f>IF($G91="","",$G91*$H91)</f>
        <v/>
      </c>
      <c r="Q91" s="12">
        <f>IF($N91="","",$N91-$I91*'設定'!$C$7)</f>
        <v/>
      </c>
      <c r="R91" s="14">
        <f>IF($N91="","",IF(AND($N91&gt;='設定'!$C$4,$O91&gt;='設定'!$C$5),IF($Q91&gt;=0,"仕入れOK","OK・下落に弱い"),"見送り"))</f>
        <v/>
      </c>
      <c r="S91" s="9" t="n"/>
      <c r="T91" s="8" t="n"/>
      <c r="U91" s="4" t="n"/>
      <c r="V91" s="8" t="n"/>
      <c r="W91" s="12">
        <f>IF(OR($G91="",$U91=""),"",$U91-$G91-$M91-$J91)</f>
        <v/>
      </c>
      <c r="X91" s="12">
        <f>IF(OR($I91="",$U91=""),"",$I91-$U91)</f>
        <v/>
      </c>
      <c r="Y91" s="11">
        <f>IF(OR($T91="",$V91=""),"",$V91-$T91)</f>
        <v/>
      </c>
      <c r="Z91" s="11">
        <f>IF(OR($S91="未発送",$S91="発送済",$S91="査定済",$S91="入金済"),1,0)</f>
        <v/>
      </c>
      <c r="AA91" s="11">
        <f>IF($U91="",0,1)</f>
        <v/>
      </c>
    </row>
    <row r="92">
      <c r="A92" s="8" t="n"/>
      <c r="B92" s="9" t="n"/>
      <c r="C92" s="10" t="n"/>
      <c r="D92" s="9" t="n"/>
      <c r="E92" s="9" t="n"/>
      <c r="F92" s="9" t="n"/>
      <c r="G92" s="4" t="n"/>
      <c r="H92" s="5" t="n"/>
      <c r="I92" s="4" t="n"/>
      <c r="J92" s="4" t="n"/>
      <c r="K92" s="4" t="n"/>
      <c r="L92" s="11">
        <f>IF($G92="","",IF($F92="",1,MAX(1,COUNTIF($F$6:$F$505,$F92)-COUNTIFS($F$6:$F$505,$F92,$S$6:$S$505,"見送り"))))</f>
        <v/>
      </c>
      <c r="M92" s="12">
        <f>IF($G92="","",IF($K92="",'設定'!$C$6,$K92)/$L92)</f>
        <v/>
      </c>
      <c r="N92" s="12">
        <f>IF(OR($G92="",$I92=""),"",$I92-$G92-$M92-$J92)</f>
        <v/>
      </c>
      <c r="O92" s="13">
        <f>IF($N92="","",IF($G92&gt;0,$N92/$G92,0))</f>
        <v/>
      </c>
      <c r="P92" s="12">
        <f>IF($G92="","",$G92*$H92)</f>
        <v/>
      </c>
      <c r="Q92" s="12">
        <f>IF($N92="","",$N92-$I92*'設定'!$C$7)</f>
        <v/>
      </c>
      <c r="R92" s="14">
        <f>IF($N92="","",IF(AND($N92&gt;='設定'!$C$4,$O92&gt;='設定'!$C$5),IF($Q92&gt;=0,"仕入れOK","OK・下落に弱い"),"見送り"))</f>
        <v/>
      </c>
      <c r="S92" s="9" t="n"/>
      <c r="T92" s="8" t="n"/>
      <c r="U92" s="4" t="n"/>
      <c r="V92" s="8" t="n"/>
      <c r="W92" s="12">
        <f>IF(OR($G92="",$U92=""),"",$U92-$G92-$M92-$J92)</f>
        <v/>
      </c>
      <c r="X92" s="12">
        <f>IF(OR($I92="",$U92=""),"",$I92-$U92)</f>
        <v/>
      </c>
      <c r="Y92" s="11">
        <f>IF(OR($T92="",$V92=""),"",$V92-$T92)</f>
        <v/>
      </c>
      <c r="Z92" s="11">
        <f>IF(OR($S92="未発送",$S92="発送済",$S92="査定済",$S92="入金済"),1,0)</f>
        <v/>
      </c>
      <c r="AA92" s="11">
        <f>IF($U92="",0,1)</f>
        <v/>
      </c>
    </row>
    <row r="93">
      <c r="A93" s="8" t="n"/>
      <c r="B93" s="9" t="n"/>
      <c r="C93" s="10" t="n"/>
      <c r="D93" s="9" t="n"/>
      <c r="E93" s="9" t="n"/>
      <c r="F93" s="9" t="n"/>
      <c r="G93" s="4" t="n"/>
      <c r="H93" s="5" t="n"/>
      <c r="I93" s="4" t="n"/>
      <c r="J93" s="4" t="n"/>
      <c r="K93" s="4" t="n"/>
      <c r="L93" s="11">
        <f>IF($G93="","",IF($F93="",1,MAX(1,COUNTIF($F$6:$F$505,$F93)-COUNTIFS($F$6:$F$505,$F93,$S$6:$S$505,"見送り"))))</f>
        <v/>
      </c>
      <c r="M93" s="12">
        <f>IF($G93="","",IF($K93="",'設定'!$C$6,$K93)/$L93)</f>
        <v/>
      </c>
      <c r="N93" s="12">
        <f>IF(OR($G93="",$I93=""),"",$I93-$G93-$M93-$J93)</f>
        <v/>
      </c>
      <c r="O93" s="13">
        <f>IF($N93="","",IF($G93&gt;0,$N93/$G93,0))</f>
        <v/>
      </c>
      <c r="P93" s="12">
        <f>IF($G93="","",$G93*$H93)</f>
        <v/>
      </c>
      <c r="Q93" s="12">
        <f>IF($N93="","",$N93-$I93*'設定'!$C$7)</f>
        <v/>
      </c>
      <c r="R93" s="14">
        <f>IF($N93="","",IF(AND($N93&gt;='設定'!$C$4,$O93&gt;='設定'!$C$5),IF($Q93&gt;=0,"仕入れOK","OK・下落に弱い"),"見送り"))</f>
        <v/>
      </c>
      <c r="S93" s="9" t="n"/>
      <c r="T93" s="8" t="n"/>
      <c r="U93" s="4" t="n"/>
      <c r="V93" s="8" t="n"/>
      <c r="W93" s="12">
        <f>IF(OR($G93="",$U93=""),"",$U93-$G93-$M93-$J93)</f>
        <v/>
      </c>
      <c r="X93" s="12">
        <f>IF(OR($I93="",$U93=""),"",$I93-$U93)</f>
        <v/>
      </c>
      <c r="Y93" s="11">
        <f>IF(OR($T93="",$V93=""),"",$V93-$T93)</f>
        <v/>
      </c>
      <c r="Z93" s="11">
        <f>IF(OR($S93="未発送",$S93="発送済",$S93="査定済",$S93="入金済"),1,0)</f>
        <v/>
      </c>
      <c r="AA93" s="11">
        <f>IF($U93="",0,1)</f>
        <v/>
      </c>
    </row>
    <row r="94">
      <c r="A94" s="8" t="n"/>
      <c r="B94" s="9" t="n"/>
      <c r="C94" s="10" t="n"/>
      <c r="D94" s="9" t="n"/>
      <c r="E94" s="9" t="n"/>
      <c r="F94" s="9" t="n"/>
      <c r="G94" s="4" t="n"/>
      <c r="H94" s="5" t="n"/>
      <c r="I94" s="4" t="n"/>
      <c r="J94" s="4" t="n"/>
      <c r="K94" s="4" t="n"/>
      <c r="L94" s="11">
        <f>IF($G94="","",IF($F94="",1,MAX(1,COUNTIF($F$6:$F$505,$F94)-COUNTIFS($F$6:$F$505,$F94,$S$6:$S$505,"見送り"))))</f>
        <v/>
      </c>
      <c r="M94" s="12">
        <f>IF($G94="","",IF($K94="",'設定'!$C$6,$K94)/$L94)</f>
        <v/>
      </c>
      <c r="N94" s="12">
        <f>IF(OR($G94="",$I94=""),"",$I94-$G94-$M94-$J94)</f>
        <v/>
      </c>
      <c r="O94" s="13">
        <f>IF($N94="","",IF($G94&gt;0,$N94/$G94,0))</f>
        <v/>
      </c>
      <c r="P94" s="12">
        <f>IF($G94="","",$G94*$H94)</f>
        <v/>
      </c>
      <c r="Q94" s="12">
        <f>IF($N94="","",$N94-$I94*'設定'!$C$7)</f>
        <v/>
      </c>
      <c r="R94" s="14">
        <f>IF($N94="","",IF(AND($N94&gt;='設定'!$C$4,$O94&gt;='設定'!$C$5),IF($Q94&gt;=0,"仕入れOK","OK・下落に弱い"),"見送り"))</f>
        <v/>
      </c>
      <c r="S94" s="9" t="n"/>
      <c r="T94" s="8" t="n"/>
      <c r="U94" s="4" t="n"/>
      <c r="V94" s="8" t="n"/>
      <c r="W94" s="12">
        <f>IF(OR($G94="",$U94=""),"",$U94-$G94-$M94-$J94)</f>
        <v/>
      </c>
      <c r="X94" s="12">
        <f>IF(OR($I94="",$U94=""),"",$I94-$U94)</f>
        <v/>
      </c>
      <c r="Y94" s="11">
        <f>IF(OR($T94="",$V94=""),"",$V94-$T94)</f>
        <v/>
      </c>
      <c r="Z94" s="11">
        <f>IF(OR($S94="未発送",$S94="発送済",$S94="査定済",$S94="入金済"),1,0)</f>
        <v/>
      </c>
      <c r="AA94" s="11">
        <f>IF($U94="",0,1)</f>
        <v/>
      </c>
    </row>
    <row r="95">
      <c r="A95" s="8" t="n"/>
      <c r="B95" s="9" t="n"/>
      <c r="C95" s="10" t="n"/>
      <c r="D95" s="9" t="n"/>
      <c r="E95" s="9" t="n"/>
      <c r="F95" s="9" t="n"/>
      <c r="G95" s="4" t="n"/>
      <c r="H95" s="5" t="n"/>
      <c r="I95" s="4" t="n"/>
      <c r="J95" s="4" t="n"/>
      <c r="K95" s="4" t="n"/>
      <c r="L95" s="11">
        <f>IF($G95="","",IF($F95="",1,MAX(1,COUNTIF($F$6:$F$505,$F95)-COUNTIFS($F$6:$F$505,$F95,$S$6:$S$505,"見送り"))))</f>
        <v/>
      </c>
      <c r="M95" s="12">
        <f>IF($G95="","",IF($K95="",'設定'!$C$6,$K95)/$L95)</f>
        <v/>
      </c>
      <c r="N95" s="12">
        <f>IF(OR($G95="",$I95=""),"",$I95-$G95-$M95-$J95)</f>
        <v/>
      </c>
      <c r="O95" s="13">
        <f>IF($N95="","",IF($G95&gt;0,$N95/$G95,0))</f>
        <v/>
      </c>
      <c r="P95" s="12">
        <f>IF($G95="","",$G95*$H95)</f>
        <v/>
      </c>
      <c r="Q95" s="12">
        <f>IF($N95="","",$N95-$I95*'設定'!$C$7)</f>
        <v/>
      </c>
      <c r="R95" s="14">
        <f>IF($N95="","",IF(AND($N95&gt;='設定'!$C$4,$O95&gt;='設定'!$C$5),IF($Q95&gt;=0,"仕入れOK","OK・下落に弱い"),"見送り"))</f>
        <v/>
      </c>
      <c r="S95" s="9" t="n"/>
      <c r="T95" s="8" t="n"/>
      <c r="U95" s="4" t="n"/>
      <c r="V95" s="8" t="n"/>
      <c r="W95" s="12">
        <f>IF(OR($G95="",$U95=""),"",$U95-$G95-$M95-$J95)</f>
        <v/>
      </c>
      <c r="X95" s="12">
        <f>IF(OR($I95="",$U95=""),"",$I95-$U95)</f>
        <v/>
      </c>
      <c r="Y95" s="11">
        <f>IF(OR($T95="",$V95=""),"",$V95-$T95)</f>
        <v/>
      </c>
      <c r="Z95" s="11">
        <f>IF(OR($S95="未発送",$S95="発送済",$S95="査定済",$S95="入金済"),1,0)</f>
        <v/>
      </c>
      <c r="AA95" s="11">
        <f>IF($U95="",0,1)</f>
        <v/>
      </c>
    </row>
    <row r="96">
      <c r="A96" s="8" t="n"/>
      <c r="B96" s="9" t="n"/>
      <c r="C96" s="10" t="n"/>
      <c r="D96" s="9" t="n"/>
      <c r="E96" s="9" t="n"/>
      <c r="F96" s="9" t="n"/>
      <c r="G96" s="4" t="n"/>
      <c r="H96" s="5" t="n"/>
      <c r="I96" s="4" t="n"/>
      <c r="J96" s="4" t="n"/>
      <c r="K96" s="4" t="n"/>
      <c r="L96" s="11">
        <f>IF($G96="","",IF($F96="",1,MAX(1,COUNTIF($F$6:$F$505,$F96)-COUNTIFS($F$6:$F$505,$F96,$S$6:$S$505,"見送り"))))</f>
        <v/>
      </c>
      <c r="M96" s="12">
        <f>IF($G96="","",IF($K96="",'設定'!$C$6,$K96)/$L96)</f>
        <v/>
      </c>
      <c r="N96" s="12">
        <f>IF(OR($G96="",$I96=""),"",$I96-$G96-$M96-$J96)</f>
        <v/>
      </c>
      <c r="O96" s="13">
        <f>IF($N96="","",IF($G96&gt;0,$N96/$G96,0))</f>
        <v/>
      </c>
      <c r="P96" s="12">
        <f>IF($G96="","",$G96*$H96)</f>
        <v/>
      </c>
      <c r="Q96" s="12">
        <f>IF($N96="","",$N96-$I96*'設定'!$C$7)</f>
        <v/>
      </c>
      <c r="R96" s="14">
        <f>IF($N96="","",IF(AND($N96&gt;='設定'!$C$4,$O96&gt;='設定'!$C$5),IF($Q96&gt;=0,"仕入れOK","OK・下落に弱い"),"見送り"))</f>
        <v/>
      </c>
      <c r="S96" s="9" t="n"/>
      <c r="T96" s="8" t="n"/>
      <c r="U96" s="4" t="n"/>
      <c r="V96" s="8" t="n"/>
      <c r="W96" s="12">
        <f>IF(OR($G96="",$U96=""),"",$U96-$G96-$M96-$J96)</f>
        <v/>
      </c>
      <c r="X96" s="12">
        <f>IF(OR($I96="",$U96=""),"",$I96-$U96)</f>
        <v/>
      </c>
      <c r="Y96" s="11">
        <f>IF(OR($T96="",$V96=""),"",$V96-$T96)</f>
        <v/>
      </c>
      <c r="Z96" s="11">
        <f>IF(OR($S96="未発送",$S96="発送済",$S96="査定済",$S96="入金済"),1,0)</f>
        <v/>
      </c>
      <c r="AA96" s="11">
        <f>IF($U96="",0,1)</f>
        <v/>
      </c>
    </row>
    <row r="97">
      <c r="A97" s="8" t="n"/>
      <c r="B97" s="9" t="n"/>
      <c r="C97" s="10" t="n"/>
      <c r="D97" s="9" t="n"/>
      <c r="E97" s="9" t="n"/>
      <c r="F97" s="9" t="n"/>
      <c r="G97" s="4" t="n"/>
      <c r="H97" s="5" t="n"/>
      <c r="I97" s="4" t="n"/>
      <c r="J97" s="4" t="n"/>
      <c r="K97" s="4" t="n"/>
      <c r="L97" s="11">
        <f>IF($G97="","",IF($F97="",1,MAX(1,COUNTIF($F$6:$F$505,$F97)-COUNTIFS($F$6:$F$505,$F97,$S$6:$S$505,"見送り"))))</f>
        <v/>
      </c>
      <c r="M97" s="12">
        <f>IF($G97="","",IF($K97="",'設定'!$C$6,$K97)/$L97)</f>
        <v/>
      </c>
      <c r="N97" s="12">
        <f>IF(OR($G97="",$I97=""),"",$I97-$G97-$M97-$J97)</f>
        <v/>
      </c>
      <c r="O97" s="13">
        <f>IF($N97="","",IF($G97&gt;0,$N97/$G97,0))</f>
        <v/>
      </c>
      <c r="P97" s="12">
        <f>IF($G97="","",$G97*$H97)</f>
        <v/>
      </c>
      <c r="Q97" s="12">
        <f>IF($N97="","",$N97-$I97*'設定'!$C$7)</f>
        <v/>
      </c>
      <c r="R97" s="14">
        <f>IF($N97="","",IF(AND($N97&gt;='設定'!$C$4,$O97&gt;='設定'!$C$5),IF($Q97&gt;=0,"仕入れOK","OK・下落に弱い"),"見送り"))</f>
        <v/>
      </c>
      <c r="S97" s="9" t="n"/>
      <c r="T97" s="8" t="n"/>
      <c r="U97" s="4" t="n"/>
      <c r="V97" s="8" t="n"/>
      <c r="W97" s="12">
        <f>IF(OR($G97="",$U97=""),"",$U97-$G97-$M97-$J97)</f>
        <v/>
      </c>
      <c r="X97" s="12">
        <f>IF(OR($I97="",$U97=""),"",$I97-$U97)</f>
        <v/>
      </c>
      <c r="Y97" s="11">
        <f>IF(OR($T97="",$V97=""),"",$V97-$T97)</f>
        <v/>
      </c>
      <c r="Z97" s="11">
        <f>IF(OR($S97="未発送",$S97="発送済",$S97="査定済",$S97="入金済"),1,0)</f>
        <v/>
      </c>
      <c r="AA97" s="11">
        <f>IF($U97="",0,1)</f>
        <v/>
      </c>
    </row>
    <row r="98">
      <c r="A98" s="8" t="n"/>
      <c r="B98" s="9" t="n"/>
      <c r="C98" s="10" t="n"/>
      <c r="D98" s="9" t="n"/>
      <c r="E98" s="9" t="n"/>
      <c r="F98" s="9" t="n"/>
      <c r="G98" s="4" t="n"/>
      <c r="H98" s="5" t="n"/>
      <c r="I98" s="4" t="n"/>
      <c r="J98" s="4" t="n"/>
      <c r="K98" s="4" t="n"/>
      <c r="L98" s="11">
        <f>IF($G98="","",IF($F98="",1,MAX(1,COUNTIF($F$6:$F$505,$F98)-COUNTIFS($F$6:$F$505,$F98,$S$6:$S$505,"見送り"))))</f>
        <v/>
      </c>
      <c r="M98" s="12">
        <f>IF($G98="","",IF($K98="",'設定'!$C$6,$K98)/$L98)</f>
        <v/>
      </c>
      <c r="N98" s="12">
        <f>IF(OR($G98="",$I98=""),"",$I98-$G98-$M98-$J98)</f>
        <v/>
      </c>
      <c r="O98" s="13">
        <f>IF($N98="","",IF($G98&gt;0,$N98/$G98,0))</f>
        <v/>
      </c>
      <c r="P98" s="12">
        <f>IF($G98="","",$G98*$H98)</f>
        <v/>
      </c>
      <c r="Q98" s="12">
        <f>IF($N98="","",$N98-$I98*'設定'!$C$7)</f>
        <v/>
      </c>
      <c r="R98" s="14">
        <f>IF($N98="","",IF(AND($N98&gt;='設定'!$C$4,$O98&gt;='設定'!$C$5),IF($Q98&gt;=0,"仕入れOK","OK・下落に弱い"),"見送り"))</f>
        <v/>
      </c>
      <c r="S98" s="9" t="n"/>
      <c r="T98" s="8" t="n"/>
      <c r="U98" s="4" t="n"/>
      <c r="V98" s="8" t="n"/>
      <c r="W98" s="12">
        <f>IF(OR($G98="",$U98=""),"",$U98-$G98-$M98-$J98)</f>
        <v/>
      </c>
      <c r="X98" s="12">
        <f>IF(OR($I98="",$U98=""),"",$I98-$U98)</f>
        <v/>
      </c>
      <c r="Y98" s="11">
        <f>IF(OR($T98="",$V98=""),"",$V98-$T98)</f>
        <v/>
      </c>
      <c r="Z98" s="11">
        <f>IF(OR($S98="未発送",$S98="発送済",$S98="査定済",$S98="入金済"),1,0)</f>
        <v/>
      </c>
      <c r="AA98" s="11">
        <f>IF($U98="",0,1)</f>
        <v/>
      </c>
    </row>
    <row r="99">
      <c r="A99" s="8" t="n"/>
      <c r="B99" s="9" t="n"/>
      <c r="C99" s="10" t="n"/>
      <c r="D99" s="9" t="n"/>
      <c r="E99" s="9" t="n"/>
      <c r="F99" s="9" t="n"/>
      <c r="G99" s="4" t="n"/>
      <c r="H99" s="5" t="n"/>
      <c r="I99" s="4" t="n"/>
      <c r="J99" s="4" t="n"/>
      <c r="K99" s="4" t="n"/>
      <c r="L99" s="11">
        <f>IF($G99="","",IF($F99="",1,MAX(1,COUNTIF($F$6:$F$505,$F99)-COUNTIFS($F$6:$F$505,$F99,$S$6:$S$505,"見送り"))))</f>
        <v/>
      </c>
      <c r="M99" s="12">
        <f>IF($G99="","",IF($K99="",'設定'!$C$6,$K99)/$L99)</f>
        <v/>
      </c>
      <c r="N99" s="12">
        <f>IF(OR($G99="",$I99=""),"",$I99-$G99-$M99-$J99)</f>
        <v/>
      </c>
      <c r="O99" s="13">
        <f>IF($N99="","",IF($G99&gt;0,$N99/$G99,0))</f>
        <v/>
      </c>
      <c r="P99" s="12">
        <f>IF($G99="","",$G99*$H99)</f>
        <v/>
      </c>
      <c r="Q99" s="12">
        <f>IF($N99="","",$N99-$I99*'設定'!$C$7)</f>
        <v/>
      </c>
      <c r="R99" s="14">
        <f>IF($N99="","",IF(AND($N99&gt;='設定'!$C$4,$O99&gt;='設定'!$C$5),IF($Q99&gt;=0,"仕入れOK","OK・下落に弱い"),"見送り"))</f>
        <v/>
      </c>
      <c r="S99" s="9" t="n"/>
      <c r="T99" s="8" t="n"/>
      <c r="U99" s="4" t="n"/>
      <c r="V99" s="8" t="n"/>
      <c r="W99" s="12">
        <f>IF(OR($G99="",$U99=""),"",$U99-$G99-$M99-$J99)</f>
        <v/>
      </c>
      <c r="X99" s="12">
        <f>IF(OR($I99="",$U99=""),"",$I99-$U99)</f>
        <v/>
      </c>
      <c r="Y99" s="11">
        <f>IF(OR($T99="",$V99=""),"",$V99-$T99)</f>
        <v/>
      </c>
      <c r="Z99" s="11">
        <f>IF(OR($S99="未発送",$S99="発送済",$S99="査定済",$S99="入金済"),1,0)</f>
        <v/>
      </c>
      <c r="AA99" s="11">
        <f>IF($U99="",0,1)</f>
        <v/>
      </c>
    </row>
    <row r="100">
      <c r="A100" s="8" t="n"/>
      <c r="B100" s="9" t="n"/>
      <c r="C100" s="10" t="n"/>
      <c r="D100" s="9" t="n"/>
      <c r="E100" s="9" t="n"/>
      <c r="F100" s="9" t="n"/>
      <c r="G100" s="4" t="n"/>
      <c r="H100" s="5" t="n"/>
      <c r="I100" s="4" t="n"/>
      <c r="J100" s="4" t="n"/>
      <c r="K100" s="4" t="n"/>
      <c r="L100" s="11">
        <f>IF($G100="","",IF($F100="",1,MAX(1,COUNTIF($F$6:$F$505,$F100)-COUNTIFS($F$6:$F$505,$F100,$S$6:$S$505,"見送り"))))</f>
        <v/>
      </c>
      <c r="M100" s="12">
        <f>IF($G100="","",IF($K100="",'設定'!$C$6,$K100)/$L100)</f>
        <v/>
      </c>
      <c r="N100" s="12">
        <f>IF(OR($G100="",$I100=""),"",$I100-$G100-$M100-$J100)</f>
        <v/>
      </c>
      <c r="O100" s="13">
        <f>IF($N100="","",IF($G100&gt;0,$N100/$G100,0))</f>
        <v/>
      </c>
      <c r="P100" s="12">
        <f>IF($G100="","",$G100*$H100)</f>
        <v/>
      </c>
      <c r="Q100" s="12">
        <f>IF($N100="","",$N100-$I100*'設定'!$C$7)</f>
        <v/>
      </c>
      <c r="R100" s="14">
        <f>IF($N100="","",IF(AND($N100&gt;='設定'!$C$4,$O100&gt;='設定'!$C$5),IF($Q100&gt;=0,"仕入れOK","OK・下落に弱い"),"見送り"))</f>
        <v/>
      </c>
      <c r="S100" s="9" t="n"/>
      <c r="T100" s="8" t="n"/>
      <c r="U100" s="4" t="n"/>
      <c r="V100" s="8" t="n"/>
      <c r="W100" s="12">
        <f>IF(OR($G100="",$U100=""),"",$U100-$G100-$M100-$J100)</f>
        <v/>
      </c>
      <c r="X100" s="12">
        <f>IF(OR($I100="",$U100=""),"",$I100-$U100)</f>
        <v/>
      </c>
      <c r="Y100" s="11">
        <f>IF(OR($T100="",$V100=""),"",$V100-$T100)</f>
        <v/>
      </c>
      <c r="Z100" s="11">
        <f>IF(OR($S100="未発送",$S100="発送済",$S100="査定済",$S100="入金済"),1,0)</f>
        <v/>
      </c>
      <c r="AA100" s="11">
        <f>IF($U100="",0,1)</f>
        <v/>
      </c>
    </row>
    <row r="101">
      <c r="A101" s="8" t="n"/>
      <c r="B101" s="9" t="n"/>
      <c r="C101" s="10" t="n"/>
      <c r="D101" s="9" t="n"/>
      <c r="E101" s="9" t="n"/>
      <c r="F101" s="9" t="n"/>
      <c r="G101" s="4" t="n"/>
      <c r="H101" s="5" t="n"/>
      <c r="I101" s="4" t="n"/>
      <c r="J101" s="4" t="n"/>
      <c r="K101" s="4" t="n"/>
      <c r="L101" s="11">
        <f>IF($G101="","",IF($F101="",1,MAX(1,COUNTIF($F$6:$F$505,$F101)-COUNTIFS($F$6:$F$505,$F101,$S$6:$S$505,"見送り"))))</f>
        <v/>
      </c>
      <c r="M101" s="12">
        <f>IF($G101="","",IF($K101="",'設定'!$C$6,$K101)/$L101)</f>
        <v/>
      </c>
      <c r="N101" s="12">
        <f>IF(OR($G101="",$I101=""),"",$I101-$G101-$M101-$J101)</f>
        <v/>
      </c>
      <c r="O101" s="13">
        <f>IF($N101="","",IF($G101&gt;0,$N101/$G101,0))</f>
        <v/>
      </c>
      <c r="P101" s="12">
        <f>IF($G101="","",$G101*$H101)</f>
        <v/>
      </c>
      <c r="Q101" s="12">
        <f>IF($N101="","",$N101-$I101*'設定'!$C$7)</f>
        <v/>
      </c>
      <c r="R101" s="14">
        <f>IF($N101="","",IF(AND($N101&gt;='設定'!$C$4,$O101&gt;='設定'!$C$5),IF($Q101&gt;=0,"仕入れOK","OK・下落に弱い"),"見送り"))</f>
        <v/>
      </c>
      <c r="S101" s="9" t="n"/>
      <c r="T101" s="8" t="n"/>
      <c r="U101" s="4" t="n"/>
      <c r="V101" s="8" t="n"/>
      <c r="W101" s="12">
        <f>IF(OR($G101="",$U101=""),"",$U101-$G101-$M101-$J101)</f>
        <v/>
      </c>
      <c r="X101" s="12">
        <f>IF(OR($I101="",$U101=""),"",$I101-$U101)</f>
        <v/>
      </c>
      <c r="Y101" s="11">
        <f>IF(OR($T101="",$V101=""),"",$V101-$T101)</f>
        <v/>
      </c>
      <c r="Z101" s="11">
        <f>IF(OR($S101="未発送",$S101="発送済",$S101="査定済",$S101="入金済"),1,0)</f>
        <v/>
      </c>
      <c r="AA101" s="11">
        <f>IF($U101="",0,1)</f>
        <v/>
      </c>
    </row>
    <row r="102">
      <c r="A102" s="8" t="n"/>
      <c r="B102" s="9" t="n"/>
      <c r="C102" s="10" t="n"/>
      <c r="D102" s="9" t="n"/>
      <c r="E102" s="9" t="n"/>
      <c r="F102" s="9" t="n"/>
      <c r="G102" s="4" t="n"/>
      <c r="H102" s="5" t="n"/>
      <c r="I102" s="4" t="n"/>
      <c r="J102" s="4" t="n"/>
      <c r="K102" s="4" t="n"/>
      <c r="L102" s="11">
        <f>IF($G102="","",IF($F102="",1,MAX(1,COUNTIF($F$6:$F$505,$F102)-COUNTIFS($F$6:$F$505,$F102,$S$6:$S$505,"見送り"))))</f>
        <v/>
      </c>
      <c r="M102" s="12">
        <f>IF($G102="","",IF($K102="",'設定'!$C$6,$K102)/$L102)</f>
        <v/>
      </c>
      <c r="N102" s="12">
        <f>IF(OR($G102="",$I102=""),"",$I102-$G102-$M102-$J102)</f>
        <v/>
      </c>
      <c r="O102" s="13">
        <f>IF($N102="","",IF($G102&gt;0,$N102/$G102,0))</f>
        <v/>
      </c>
      <c r="P102" s="12">
        <f>IF($G102="","",$G102*$H102)</f>
        <v/>
      </c>
      <c r="Q102" s="12">
        <f>IF($N102="","",$N102-$I102*'設定'!$C$7)</f>
        <v/>
      </c>
      <c r="R102" s="14">
        <f>IF($N102="","",IF(AND($N102&gt;='設定'!$C$4,$O102&gt;='設定'!$C$5),IF($Q102&gt;=0,"仕入れOK","OK・下落に弱い"),"見送り"))</f>
        <v/>
      </c>
      <c r="S102" s="9" t="n"/>
      <c r="T102" s="8" t="n"/>
      <c r="U102" s="4" t="n"/>
      <c r="V102" s="8" t="n"/>
      <c r="W102" s="12">
        <f>IF(OR($G102="",$U102=""),"",$U102-$G102-$M102-$J102)</f>
        <v/>
      </c>
      <c r="X102" s="12">
        <f>IF(OR($I102="",$U102=""),"",$I102-$U102)</f>
        <v/>
      </c>
      <c r="Y102" s="11">
        <f>IF(OR($T102="",$V102=""),"",$V102-$T102)</f>
        <v/>
      </c>
      <c r="Z102" s="11">
        <f>IF(OR($S102="未発送",$S102="発送済",$S102="査定済",$S102="入金済"),1,0)</f>
        <v/>
      </c>
      <c r="AA102" s="11">
        <f>IF($U102="",0,1)</f>
        <v/>
      </c>
    </row>
    <row r="103">
      <c r="A103" s="8" t="n"/>
      <c r="B103" s="9" t="n"/>
      <c r="C103" s="10" t="n"/>
      <c r="D103" s="9" t="n"/>
      <c r="E103" s="9" t="n"/>
      <c r="F103" s="9" t="n"/>
      <c r="G103" s="4" t="n"/>
      <c r="H103" s="5" t="n"/>
      <c r="I103" s="4" t="n"/>
      <c r="J103" s="4" t="n"/>
      <c r="K103" s="4" t="n"/>
      <c r="L103" s="11">
        <f>IF($G103="","",IF($F103="",1,MAX(1,COUNTIF($F$6:$F$505,$F103)-COUNTIFS($F$6:$F$505,$F103,$S$6:$S$505,"見送り"))))</f>
        <v/>
      </c>
      <c r="M103" s="12">
        <f>IF($G103="","",IF($K103="",'設定'!$C$6,$K103)/$L103)</f>
        <v/>
      </c>
      <c r="N103" s="12">
        <f>IF(OR($G103="",$I103=""),"",$I103-$G103-$M103-$J103)</f>
        <v/>
      </c>
      <c r="O103" s="13">
        <f>IF($N103="","",IF($G103&gt;0,$N103/$G103,0))</f>
        <v/>
      </c>
      <c r="P103" s="12">
        <f>IF($G103="","",$G103*$H103)</f>
        <v/>
      </c>
      <c r="Q103" s="12">
        <f>IF($N103="","",$N103-$I103*'設定'!$C$7)</f>
        <v/>
      </c>
      <c r="R103" s="14">
        <f>IF($N103="","",IF(AND($N103&gt;='設定'!$C$4,$O103&gt;='設定'!$C$5),IF($Q103&gt;=0,"仕入れOK","OK・下落に弱い"),"見送り"))</f>
        <v/>
      </c>
      <c r="S103" s="9" t="n"/>
      <c r="T103" s="8" t="n"/>
      <c r="U103" s="4" t="n"/>
      <c r="V103" s="8" t="n"/>
      <c r="W103" s="12">
        <f>IF(OR($G103="",$U103=""),"",$U103-$G103-$M103-$J103)</f>
        <v/>
      </c>
      <c r="X103" s="12">
        <f>IF(OR($I103="",$U103=""),"",$I103-$U103)</f>
        <v/>
      </c>
      <c r="Y103" s="11">
        <f>IF(OR($T103="",$V103=""),"",$V103-$T103)</f>
        <v/>
      </c>
      <c r="Z103" s="11">
        <f>IF(OR($S103="未発送",$S103="発送済",$S103="査定済",$S103="入金済"),1,0)</f>
        <v/>
      </c>
      <c r="AA103" s="11">
        <f>IF($U103="",0,1)</f>
        <v/>
      </c>
    </row>
    <row r="104">
      <c r="A104" s="8" t="n"/>
      <c r="B104" s="9" t="n"/>
      <c r="C104" s="10" t="n"/>
      <c r="D104" s="9" t="n"/>
      <c r="E104" s="9" t="n"/>
      <c r="F104" s="9" t="n"/>
      <c r="G104" s="4" t="n"/>
      <c r="H104" s="5" t="n"/>
      <c r="I104" s="4" t="n"/>
      <c r="J104" s="4" t="n"/>
      <c r="K104" s="4" t="n"/>
      <c r="L104" s="11">
        <f>IF($G104="","",IF($F104="",1,MAX(1,COUNTIF($F$6:$F$505,$F104)-COUNTIFS($F$6:$F$505,$F104,$S$6:$S$505,"見送り"))))</f>
        <v/>
      </c>
      <c r="M104" s="12">
        <f>IF($G104="","",IF($K104="",'設定'!$C$6,$K104)/$L104)</f>
        <v/>
      </c>
      <c r="N104" s="12">
        <f>IF(OR($G104="",$I104=""),"",$I104-$G104-$M104-$J104)</f>
        <v/>
      </c>
      <c r="O104" s="13">
        <f>IF($N104="","",IF($G104&gt;0,$N104/$G104,0))</f>
        <v/>
      </c>
      <c r="P104" s="12">
        <f>IF($G104="","",$G104*$H104)</f>
        <v/>
      </c>
      <c r="Q104" s="12">
        <f>IF($N104="","",$N104-$I104*'設定'!$C$7)</f>
        <v/>
      </c>
      <c r="R104" s="14">
        <f>IF($N104="","",IF(AND($N104&gt;='設定'!$C$4,$O104&gt;='設定'!$C$5),IF($Q104&gt;=0,"仕入れOK","OK・下落に弱い"),"見送り"))</f>
        <v/>
      </c>
      <c r="S104" s="9" t="n"/>
      <c r="T104" s="8" t="n"/>
      <c r="U104" s="4" t="n"/>
      <c r="V104" s="8" t="n"/>
      <c r="W104" s="12">
        <f>IF(OR($G104="",$U104=""),"",$U104-$G104-$M104-$J104)</f>
        <v/>
      </c>
      <c r="X104" s="12">
        <f>IF(OR($I104="",$U104=""),"",$I104-$U104)</f>
        <v/>
      </c>
      <c r="Y104" s="11">
        <f>IF(OR($T104="",$V104=""),"",$V104-$T104)</f>
        <v/>
      </c>
      <c r="Z104" s="11">
        <f>IF(OR($S104="未発送",$S104="発送済",$S104="査定済",$S104="入金済"),1,0)</f>
        <v/>
      </c>
      <c r="AA104" s="11">
        <f>IF($U104="",0,1)</f>
        <v/>
      </c>
    </row>
    <row r="105">
      <c r="A105" s="8" t="n"/>
      <c r="B105" s="9" t="n"/>
      <c r="C105" s="10" t="n"/>
      <c r="D105" s="9" t="n"/>
      <c r="E105" s="9" t="n"/>
      <c r="F105" s="9" t="n"/>
      <c r="G105" s="4" t="n"/>
      <c r="H105" s="5" t="n"/>
      <c r="I105" s="4" t="n"/>
      <c r="J105" s="4" t="n"/>
      <c r="K105" s="4" t="n"/>
      <c r="L105" s="11">
        <f>IF($G105="","",IF($F105="",1,MAX(1,COUNTIF($F$6:$F$505,$F105)-COUNTIFS($F$6:$F$505,$F105,$S$6:$S$505,"見送り"))))</f>
        <v/>
      </c>
      <c r="M105" s="12">
        <f>IF($G105="","",IF($K105="",'設定'!$C$6,$K105)/$L105)</f>
        <v/>
      </c>
      <c r="N105" s="12">
        <f>IF(OR($G105="",$I105=""),"",$I105-$G105-$M105-$J105)</f>
        <v/>
      </c>
      <c r="O105" s="13">
        <f>IF($N105="","",IF($G105&gt;0,$N105/$G105,0))</f>
        <v/>
      </c>
      <c r="P105" s="12">
        <f>IF($G105="","",$G105*$H105)</f>
        <v/>
      </c>
      <c r="Q105" s="12">
        <f>IF($N105="","",$N105-$I105*'設定'!$C$7)</f>
        <v/>
      </c>
      <c r="R105" s="14">
        <f>IF($N105="","",IF(AND($N105&gt;='設定'!$C$4,$O105&gt;='設定'!$C$5),IF($Q105&gt;=0,"仕入れOK","OK・下落に弱い"),"見送り"))</f>
        <v/>
      </c>
      <c r="S105" s="9" t="n"/>
      <c r="T105" s="8" t="n"/>
      <c r="U105" s="4" t="n"/>
      <c r="V105" s="8" t="n"/>
      <c r="W105" s="12">
        <f>IF(OR($G105="",$U105=""),"",$U105-$G105-$M105-$J105)</f>
        <v/>
      </c>
      <c r="X105" s="12">
        <f>IF(OR($I105="",$U105=""),"",$I105-$U105)</f>
        <v/>
      </c>
      <c r="Y105" s="11">
        <f>IF(OR($T105="",$V105=""),"",$V105-$T105)</f>
        <v/>
      </c>
      <c r="Z105" s="11">
        <f>IF(OR($S105="未発送",$S105="発送済",$S105="査定済",$S105="入金済"),1,0)</f>
        <v/>
      </c>
      <c r="AA105" s="11">
        <f>IF($U105="",0,1)</f>
        <v/>
      </c>
    </row>
    <row r="106">
      <c r="A106" s="8" t="n"/>
      <c r="B106" s="9" t="n"/>
      <c r="C106" s="10" t="n"/>
      <c r="D106" s="9" t="n"/>
      <c r="E106" s="9" t="n"/>
      <c r="F106" s="9" t="n"/>
      <c r="G106" s="4" t="n"/>
      <c r="H106" s="5" t="n"/>
      <c r="I106" s="4" t="n"/>
      <c r="J106" s="4" t="n"/>
      <c r="K106" s="4" t="n"/>
      <c r="L106" s="11">
        <f>IF($G106="","",IF($F106="",1,MAX(1,COUNTIF($F$6:$F$505,$F106)-COUNTIFS($F$6:$F$505,$F106,$S$6:$S$505,"見送り"))))</f>
        <v/>
      </c>
      <c r="M106" s="12">
        <f>IF($G106="","",IF($K106="",'設定'!$C$6,$K106)/$L106)</f>
        <v/>
      </c>
      <c r="N106" s="12">
        <f>IF(OR($G106="",$I106=""),"",$I106-$G106-$M106-$J106)</f>
        <v/>
      </c>
      <c r="O106" s="13">
        <f>IF($N106="","",IF($G106&gt;0,$N106/$G106,0))</f>
        <v/>
      </c>
      <c r="P106" s="12">
        <f>IF($G106="","",$G106*$H106)</f>
        <v/>
      </c>
      <c r="Q106" s="12">
        <f>IF($N106="","",$N106-$I106*'設定'!$C$7)</f>
        <v/>
      </c>
      <c r="R106" s="14">
        <f>IF($N106="","",IF(AND($N106&gt;='設定'!$C$4,$O106&gt;='設定'!$C$5),IF($Q106&gt;=0,"仕入れOK","OK・下落に弱い"),"見送り"))</f>
        <v/>
      </c>
      <c r="S106" s="9" t="n"/>
      <c r="T106" s="8" t="n"/>
      <c r="U106" s="4" t="n"/>
      <c r="V106" s="8" t="n"/>
      <c r="W106" s="12">
        <f>IF(OR($G106="",$U106=""),"",$U106-$G106-$M106-$J106)</f>
        <v/>
      </c>
      <c r="X106" s="12">
        <f>IF(OR($I106="",$U106=""),"",$I106-$U106)</f>
        <v/>
      </c>
      <c r="Y106" s="11">
        <f>IF(OR($T106="",$V106=""),"",$V106-$T106)</f>
        <v/>
      </c>
      <c r="Z106" s="11">
        <f>IF(OR($S106="未発送",$S106="発送済",$S106="査定済",$S106="入金済"),1,0)</f>
        <v/>
      </c>
      <c r="AA106" s="11">
        <f>IF($U106="",0,1)</f>
        <v/>
      </c>
    </row>
    <row r="107">
      <c r="A107" s="8" t="n"/>
      <c r="B107" s="9" t="n"/>
      <c r="C107" s="10" t="n"/>
      <c r="D107" s="9" t="n"/>
      <c r="E107" s="9" t="n"/>
      <c r="F107" s="9" t="n"/>
      <c r="G107" s="4" t="n"/>
      <c r="H107" s="5" t="n"/>
      <c r="I107" s="4" t="n"/>
      <c r="J107" s="4" t="n"/>
      <c r="K107" s="4" t="n"/>
      <c r="L107" s="11">
        <f>IF($G107="","",IF($F107="",1,MAX(1,COUNTIF($F$6:$F$505,$F107)-COUNTIFS($F$6:$F$505,$F107,$S$6:$S$505,"見送り"))))</f>
        <v/>
      </c>
      <c r="M107" s="12">
        <f>IF($G107="","",IF($K107="",'設定'!$C$6,$K107)/$L107)</f>
        <v/>
      </c>
      <c r="N107" s="12">
        <f>IF(OR($G107="",$I107=""),"",$I107-$G107-$M107-$J107)</f>
        <v/>
      </c>
      <c r="O107" s="13">
        <f>IF($N107="","",IF($G107&gt;0,$N107/$G107,0))</f>
        <v/>
      </c>
      <c r="P107" s="12">
        <f>IF($G107="","",$G107*$H107)</f>
        <v/>
      </c>
      <c r="Q107" s="12">
        <f>IF($N107="","",$N107-$I107*'設定'!$C$7)</f>
        <v/>
      </c>
      <c r="R107" s="14">
        <f>IF($N107="","",IF(AND($N107&gt;='設定'!$C$4,$O107&gt;='設定'!$C$5),IF($Q107&gt;=0,"仕入れOK","OK・下落に弱い"),"見送り"))</f>
        <v/>
      </c>
      <c r="S107" s="9" t="n"/>
      <c r="T107" s="8" t="n"/>
      <c r="U107" s="4" t="n"/>
      <c r="V107" s="8" t="n"/>
      <c r="W107" s="12">
        <f>IF(OR($G107="",$U107=""),"",$U107-$G107-$M107-$J107)</f>
        <v/>
      </c>
      <c r="X107" s="12">
        <f>IF(OR($I107="",$U107=""),"",$I107-$U107)</f>
        <v/>
      </c>
      <c r="Y107" s="11">
        <f>IF(OR($T107="",$V107=""),"",$V107-$T107)</f>
        <v/>
      </c>
      <c r="Z107" s="11">
        <f>IF(OR($S107="未発送",$S107="発送済",$S107="査定済",$S107="入金済"),1,0)</f>
        <v/>
      </c>
      <c r="AA107" s="11">
        <f>IF($U107="",0,1)</f>
        <v/>
      </c>
    </row>
    <row r="108">
      <c r="A108" s="8" t="n"/>
      <c r="B108" s="9" t="n"/>
      <c r="C108" s="10" t="n"/>
      <c r="D108" s="9" t="n"/>
      <c r="E108" s="9" t="n"/>
      <c r="F108" s="9" t="n"/>
      <c r="G108" s="4" t="n"/>
      <c r="H108" s="5" t="n"/>
      <c r="I108" s="4" t="n"/>
      <c r="J108" s="4" t="n"/>
      <c r="K108" s="4" t="n"/>
      <c r="L108" s="11">
        <f>IF($G108="","",IF($F108="",1,MAX(1,COUNTIF($F$6:$F$505,$F108)-COUNTIFS($F$6:$F$505,$F108,$S$6:$S$505,"見送り"))))</f>
        <v/>
      </c>
      <c r="M108" s="12">
        <f>IF($G108="","",IF($K108="",'設定'!$C$6,$K108)/$L108)</f>
        <v/>
      </c>
      <c r="N108" s="12">
        <f>IF(OR($G108="",$I108=""),"",$I108-$G108-$M108-$J108)</f>
        <v/>
      </c>
      <c r="O108" s="13">
        <f>IF($N108="","",IF($G108&gt;0,$N108/$G108,0))</f>
        <v/>
      </c>
      <c r="P108" s="12">
        <f>IF($G108="","",$G108*$H108)</f>
        <v/>
      </c>
      <c r="Q108" s="12">
        <f>IF($N108="","",$N108-$I108*'設定'!$C$7)</f>
        <v/>
      </c>
      <c r="R108" s="14">
        <f>IF($N108="","",IF(AND($N108&gt;='設定'!$C$4,$O108&gt;='設定'!$C$5),IF($Q108&gt;=0,"仕入れOK","OK・下落に弱い"),"見送り"))</f>
        <v/>
      </c>
      <c r="S108" s="9" t="n"/>
      <c r="T108" s="8" t="n"/>
      <c r="U108" s="4" t="n"/>
      <c r="V108" s="8" t="n"/>
      <c r="W108" s="12">
        <f>IF(OR($G108="",$U108=""),"",$U108-$G108-$M108-$J108)</f>
        <v/>
      </c>
      <c r="X108" s="12">
        <f>IF(OR($I108="",$U108=""),"",$I108-$U108)</f>
        <v/>
      </c>
      <c r="Y108" s="11">
        <f>IF(OR($T108="",$V108=""),"",$V108-$T108)</f>
        <v/>
      </c>
      <c r="Z108" s="11">
        <f>IF(OR($S108="未発送",$S108="発送済",$S108="査定済",$S108="入金済"),1,0)</f>
        <v/>
      </c>
      <c r="AA108" s="11">
        <f>IF($U108="",0,1)</f>
        <v/>
      </c>
    </row>
    <row r="109">
      <c r="A109" s="8" t="n"/>
      <c r="B109" s="9" t="n"/>
      <c r="C109" s="10" t="n"/>
      <c r="D109" s="9" t="n"/>
      <c r="E109" s="9" t="n"/>
      <c r="F109" s="9" t="n"/>
      <c r="G109" s="4" t="n"/>
      <c r="H109" s="5" t="n"/>
      <c r="I109" s="4" t="n"/>
      <c r="J109" s="4" t="n"/>
      <c r="K109" s="4" t="n"/>
      <c r="L109" s="11">
        <f>IF($G109="","",IF($F109="",1,MAX(1,COUNTIF($F$6:$F$505,$F109)-COUNTIFS($F$6:$F$505,$F109,$S$6:$S$505,"見送り"))))</f>
        <v/>
      </c>
      <c r="M109" s="12">
        <f>IF($G109="","",IF($K109="",'設定'!$C$6,$K109)/$L109)</f>
        <v/>
      </c>
      <c r="N109" s="12">
        <f>IF(OR($G109="",$I109=""),"",$I109-$G109-$M109-$J109)</f>
        <v/>
      </c>
      <c r="O109" s="13">
        <f>IF($N109="","",IF($G109&gt;0,$N109/$G109,0))</f>
        <v/>
      </c>
      <c r="P109" s="12">
        <f>IF($G109="","",$G109*$H109)</f>
        <v/>
      </c>
      <c r="Q109" s="12">
        <f>IF($N109="","",$N109-$I109*'設定'!$C$7)</f>
        <v/>
      </c>
      <c r="R109" s="14">
        <f>IF($N109="","",IF(AND($N109&gt;='設定'!$C$4,$O109&gt;='設定'!$C$5),IF($Q109&gt;=0,"仕入れOK","OK・下落に弱い"),"見送り"))</f>
        <v/>
      </c>
      <c r="S109" s="9" t="n"/>
      <c r="T109" s="8" t="n"/>
      <c r="U109" s="4" t="n"/>
      <c r="V109" s="8" t="n"/>
      <c r="W109" s="12">
        <f>IF(OR($G109="",$U109=""),"",$U109-$G109-$M109-$J109)</f>
        <v/>
      </c>
      <c r="X109" s="12">
        <f>IF(OR($I109="",$U109=""),"",$I109-$U109)</f>
        <v/>
      </c>
      <c r="Y109" s="11">
        <f>IF(OR($T109="",$V109=""),"",$V109-$T109)</f>
        <v/>
      </c>
      <c r="Z109" s="11">
        <f>IF(OR($S109="未発送",$S109="発送済",$S109="査定済",$S109="入金済"),1,0)</f>
        <v/>
      </c>
      <c r="AA109" s="11">
        <f>IF($U109="",0,1)</f>
        <v/>
      </c>
    </row>
    <row r="110">
      <c r="A110" s="8" t="n"/>
      <c r="B110" s="9" t="n"/>
      <c r="C110" s="10" t="n"/>
      <c r="D110" s="9" t="n"/>
      <c r="E110" s="9" t="n"/>
      <c r="F110" s="9" t="n"/>
      <c r="G110" s="4" t="n"/>
      <c r="H110" s="5" t="n"/>
      <c r="I110" s="4" t="n"/>
      <c r="J110" s="4" t="n"/>
      <c r="K110" s="4" t="n"/>
      <c r="L110" s="11">
        <f>IF($G110="","",IF($F110="",1,MAX(1,COUNTIF($F$6:$F$505,$F110)-COUNTIFS($F$6:$F$505,$F110,$S$6:$S$505,"見送り"))))</f>
        <v/>
      </c>
      <c r="M110" s="12">
        <f>IF($G110="","",IF($K110="",'設定'!$C$6,$K110)/$L110)</f>
        <v/>
      </c>
      <c r="N110" s="12">
        <f>IF(OR($G110="",$I110=""),"",$I110-$G110-$M110-$J110)</f>
        <v/>
      </c>
      <c r="O110" s="13">
        <f>IF($N110="","",IF($G110&gt;0,$N110/$G110,0))</f>
        <v/>
      </c>
      <c r="P110" s="12">
        <f>IF($G110="","",$G110*$H110)</f>
        <v/>
      </c>
      <c r="Q110" s="12">
        <f>IF($N110="","",$N110-$I110*'設定'!$C$7)</f>
        <v/>
      </c>
      <c r="R110" s="14">
        <f>IF($N110="","",IF(AND($N110&gt;='設定'!$C$4,$O110&gt;='設定'!$C$5),IF($Q110&gt;=0,"仕入れOK","OK・下落に弱い"),"見送り"))</f>
        <v/>
      </c>
      <c r="S110" s="9" t="n"/>
      <c r="T110" s="8" t="n"/>
      <c r="U110" s="4" t="n"/>
      <c r="V110" s="8" t="n"/>
      <c r="W110" s="12">
        <f>IF(OR($G110="",$U110=""),"",$U110-$G110-$M110-$J110)</f>
        <v/>
      </c>
      <c r="X110" s="12">
        <f>IF(OR($I110="",$U110=""),"",$I110-$U110)</f>
        <v/>
      </c>
      <c r="Y110" s="11">
        <f>IF(OR($T110="",$V110=""),"",$V110-$T110)</f>
        <v/>
      </c>
      <c r="Z110" s="11">
        <f>IF(OR($S110="未発送",$S110="発送済",$S110="査定済",$S110="入金済"),1,0)</f>
        <v/>
      </c>
      <c r="AA110" s="11">
        <f>IF($U110="",0,1)</f>
        <v/>
      </c>
    </row>
    <row r="111">
      <c r="A111" s="8" t="n"/>
      <c r="B111" s="9" t="n"/>
      <c r="C111" s="10" t="n"/>
      <c r="D111" s="9" t="n"/>
      <c r="E111" s="9" t="n"/>
      <c r="F111" s="9" t="n"/>
      <c r="G111" s="4" t="n"/>
      <c r="H111" s="5" t="n"/>
      <c r="I111" s="4" t="n"/>
      <c r="J111" s="4" t="n"/>
      <c r="K111" s="4" t="n"/>
      <c r="L111" s="11">
        <f>IF($G111="","",IF($F111="",1,MAX(1,COUNTIF($F$6:$F$505,$F111)-COUNTIFS($F$6:$F$505,$F111,$S$6:$S$505,"見送り"))))</f>
        <v/>
      </c>
      <c r="M111" s="12">
        <f>IF($G111="","",IF($K111="",'設定'!$C$6,$K111)/$L111)</f>
        <v/>
      </c>
      <c r="N111" s="12">
        <f>IF(OR($G111="",$I111=""),"",$I111-$G111-$M111-$J111)</f>
        <v/>
      </c>
      <c r="O111" s="13">
        <f>IF($N111="","",IF($G111&gt;0,$N111/$G111,0))</f>
        <v/>
      </c>
      <c r="P111" s="12">
        <f>IF($G111="","",$G111*$H111)</f>
        <v/>
      </c>
      <c r="Q111" s="12">
        <f>IF($N111="","",$N111-$I111*'設定'!$C$7)</f>
        <v/>
      </c>
      <c r="R111" s="14">
        <f>IF($N111="","",IF(AND($N111&gt;='設定'!$C$4,$O111&gt;='設定'!$C$5),IF($Q111&gt;=0,"仕入れOK","OK・下落に弱い"),"見送り"))</f>
        <v/>
      </c>
      <c r="S111" s="9" t="n"/>
      <c r="T111" s="8" t="n"/>
      <c r="U111" s="4" t="n"/>
      <c r="V111" s="8" t="n"/>
      <c r="W111" s="12">
        <f>IF(OR($G111="",$U111=""),"",$U111-$G111-$M111-$J111)</f>
        <v/>
      </c>
      <c r="X111" s="12">
        <f>IF(OR($I111="",$U111=""),"",$I111-$U111)</f>
        <v/>
      </c>
      <c r="Y111" s="11">
        <f>IF(OR($T111="",$V111=""),"",$V111-$T111)</f>
        <v/>
      </c>
      <c r="Z111" s="11">
        <f>IF(OR($S111="未発送",$S111="発送済",$S111="査定済",$S111="入金済"),1,0)</f>
        <v/>
      </c>
      <c r="AA111" s="11">
        <f>IF($U111="",0,1)</f>
        <v/>
      </c>
    </row>
    <row r="112">
      <c r="A112" s="8" t="n"/>
      <c r="B112" s="9" t="n"/>
      <c r="C112" s="10" t="n"/>
      <c r="D112" s="9" t="n"/>
      <c r="E112" s="9" t="n"/>
      <c r="F112" s="9" t="n"/>
      <c r="G112" s="4" t="n"/>
      <c r="H112" s="5" t="n"/>
      <c r="I112" s="4" t="n"/>
      <c r="J112" s="4" t="n"/>
      <c r="K112" s="4" t="n"/>
      <c r="L112" s="11">
        <f>IF($G112="","",IF($F112="",1,MAX(1,COUNTIF($F$6:$F$505,$F112)-COUNTIFS($F$6:$F$505,$F112,$S$6:$S$505,"見送り"))))</f>
        <v/>
      </c>
      <c r="M112" s="12">
        <f>IF($G112="","",IF($K112="",'設定'!$C$6,$K112)/$L112)</f>
        <v/>
      </c>
      <c r="N112" s="12">
        <f>IF(OR($G112="",$I112=""),"",$I112-$G112-$M112-$J112)</f>
        <v/>
      </c>
      <c r="O112" s="13">
        <f>IF($N112="","",IF($G112&gt;0,$N112/$G112,0))</f>
        <v/>
      </c>
      <c r="P112" s="12">
        <f>IF($G112="","",$G112*$H112)</f>
        <v/>
      </c>
      <c r="Q112" s="12">
        <f>IF($N112="","",$N112-$I112*'設定'!$C$7)</f>
        <v/>
      </c>
      <c r="R112" s="14">
        <f>IF($N112="","",IF(AND($N112&gt;='設定'!$C$4,$O112&gt;='設定'!$C$5),IF($Q112&gt;=0,"仕入れOK","OK・下落に弱い"),"見送り"))</f>
        <v/>
      </c>
      <c r="S112" s="9" t="n"/>
      <c r="T112" s="8" t="n"/>
      <c r="U112" s="4" t="n"/>
      <c r="V112" s="8" t="n"/>
      <c r="W112" s="12">
        <f>IF(OR($G112="",$U112=""),"",$U112-$G112-$M112-$J112)</f>
        <v/>
      </c>
      <c r="X112" s="12">
        <f>IF(OR($I112="",$U112=""),"",$I112-$U112)</f>
        <v/>
      </c>
      <c r="Y112" s="11">
        <f>IF(OR($T112="",$V112=""),"",$V112-$T112)</f>
        <v/>
      </c>
      <c r="Z112" s="11">
        <f>IF(OR($S112="未発送",$S112="発送済",$S112="査定済",$S112="入金済"),1,0)</f>
        <v/>
      </c>
      <c r="AA112" s="11">
        <f>IF($U112="",0,1)</f>
        <v/>
      </c>
    </row>
    <row r="113">
      <c r="A113" s="8" t="n"/>
      <c r="B113" s="9" t="n"/>
      <c r="C113" s="10" t="n"/>
      <c r="D113" s="9" t="n"/>
      <c r="E113" s="9" t="n"/>
      <c r="F113" s="9" t="n"/>
      <c r="G113" s="4" t="n"/>
      <c r="H113" s="5" t="n"/>
      <c r="I113" s="4" t="n"/>
      <c r="J113" s="4" t="n"/>
      <c r="K113" s="4" t="n"/>
      <c r="L113" s="11">
        <f>IF($G113="","",IF($F113="",1,MAX(1,COUNTIF($F$6:$F$505,$F113)-COUNTIFS($F$6:$F$505,$F113,$S$6:$S$505,"見送り"))))</f>
        <v/>
      </c>
      <c r="M113" s="12">
        <f>IF($G113="","",IF($K113="",'設定'!$C$6,$K113)/$L113)</f>
        <v/>
      </c>
      <c r="N113" s="12">
        <f>IF(OR($G113="",$I113=""),"",$I113-$G113-$M113-$J113)</f>
        <v/>
      </c>
      <c r="O113" s="13">
        <f>IF($N113="","",IF($G113&gt;0,$N113/$G113,0))</f>
        <v/>
      </c>
      <c r="P113" s="12">
        <f>IF($G113="","",$G113*$H113)</f>
        <v/>
      </c>
      <c r="Q113" s="12">
        <f>IF($N113="","",$N113-$I113*'設定'!$C$7)</f>
        <v/>
      </c>
      <c r="R113" s="14">
        <f>IF($N113="","",IF(AND($N113&gt;='設定'!$C$4,$O113&gt;='設定'!$C$5),IF($Q113&gt;=0,"仕入れOK","OK・下落に弱い"),"見送り"))</f>
        <v/>
      </c>
      <c r="S113" s="9" t="n"/>
      <c r="T113" s="8" t="n"/>
      <c r="U113" s="4" t="n"/>
      <c r="V113" s="8" t="n"/>
      <c r="W113" s="12">
        <f>IF(OR($G113="",$U113=""),"",$U113-$G113-$M113-$J113)</f>
        <v/>
      </c>
      <c r="X113" s="12">
        <f>IF(OR($I113="",$U113=""),"",$I113-$U113)</f>
        <v/>
      </c>
      <c r="Y113" s="11">
        <f>IF(OR($T113="",$V113=""),"",$V113-$T113)</f>
        <v/>
      </c>
      <c r="Z113" s="11">
        <f>IF(OR($S113="未発送",$S113="発送済",$S113="査定済",$S113="入金済"),1,0)</f>
        <v/>
      </c>
      <c r="AA113" s="11">
        <f>IF($U113="",0,1)</f>
        <v/>
      </c>
    </row>
    <row r="114">
      <c r="A114" s="8" t="n"/>
      <c r="B114" s="9" t="n"/>
      <c r="C114" s="10" t="n"/>
      <c r="D114" s="9" t="n"/>
      <c r="E114" s="9" t="n"/>
      <c r="F114" s="9" t="n"/>
      <c r="G114" s="4" t="n"/>
      <c r="H114" s="5" t="n"/>
      <c r="I114" s="4" t="n"/>
      <c r="J114" s="4" t="n"/>
      <c r="K114" s="4" t="n"/>
      <c r="L114" s="11">
        <f>IF($G114="","",IF($F114="",1,MAX(1,COUNTIF($F$6:$F$505,$F114)-COUNTIFS($F$6:$F$505,$F114,$S$6:$S$505,"見送り"))))</f>
        <v/>
      </c>
      <c r="M114" s="12">
        <f>IF($G114="","",IF($K114="",'設定'!$C$6,$K114)/$L114)</f>
        <v/>
      </c>
      <c r="N114" s="12">
        <f>IF(OR($G114="",$I114=""),"",$I114-$G114-$M114-$J114)</f>
        <v/>
      </c>
      <c r="O114" s="13">
        <f>IF($N114="","",IF($G114&gt;0,$N114/$G114,0))</f>
        <v/>
      </c>
      <c r="P114" s="12">
        <f>IF($G114="","",$G114*$H114)</f>
        <v/>
      </c>
      <c r="Q114" s="12">
        <f>IF($N114="","",$N114-$I114*'設定'!$C$7)</f>
        <v/>
      </c>
      <c r="R114" s="14">
        <f>IF($N114="","",IF(AND($N114&gt;='設定'!$C$4,$O114&gt;='設定'!$C$5),IF($Q114&gt;=0,"仕入れOK","OK・下落に弱い"),"見送り"))</f>
        <v/>
      </c>
      <c r="S114" s="9" t="n"/>
      <c r="T114" s="8" t="n"/>
      <c r="U114" s="4" t="n"/>
      <c r="V114" s="8" t="n"/>
      <c r="W114" s="12">
        <f>IF(OR($G114="",$U114=""),"",$U114-$G114-$M114-$J114)</f>
        <v/>
      </c>
      <c r="X114" s="12">
        <f>IF(OR($I114="",$U114=""),"",$I114-$U114)</f>
        <v/>
      </c>
      <c r="Y114" s="11">
        <f>IF(OR($T114="",$V114=""),"",$V114-$T114)</f>
        <v/>
      </c>
      <c r="Z114" s="11">
        <f>IF(OR($S114="未発送",$S114="発送済",$S114="査定済",$S114="入金済"),1,0)</f>
        <v/>
      </c>
      <c r="AA114" s="11">
        <f>IF($U114="",0,1)</f>
        <v/>
      </c>
    </row>
    <row r="115">
      <c r="A115" s="8" t="n"/>
      <c r="B115" s="9" t="n"/>
      <c r="C115" s="10" t="n"/>
      <c r="D115" s="9" t="n"/>
      <c r="E115" s="9" t="n"/>
      <c r="F115" s="9" t="n"/>
      <c r="G115" s="4" t="n"/>
      <c r="H115" s="5" t="n"/>
      <c r="I115" s="4" t="n"/>
      <c r="J115" s="4" t="n"/>
      <c r="K115" s="4" t="n"/>
      <c r="L115" s="11">
        <f>IF($G115="","",IF($F115="",1,MAX(1,COUNTIF($F$6:$F$505,$F115)-COUNTIFS($F$6:$F$505,$F115,$S$6:$S$505,"見送り"))))</f>
        <v/>
      </c>
      <c r="M115" s="12">
        <f>IF($G115="","",IF($K115="",'設定'!$C$6,$K115)/$L115)</f>
        <v/>
      </c>
      <c r="N115" s="12">
        <f>IF(OR($G115="",$I115=""),"",$I115-$G115-$M115-$J115)</f>
        <v/>
      </c>
      <c r="O115" s="13">
        <f>IF($N115="","",IF($G115&gt;0,$N115/$G115,0))</f>
        <v/>
      </c>
      <c r="P115" s="12">
        <f>IF($G115="","",$G115*$H115)</f>
        <v/>
      </c>
      <c r="Q115" s="12">
        <f>IF($N115="","",$N115-$I115*'設定'!$C$7)</f>
        <v/>
      </c>
      <c r="R115" s="14">
        <f>IF($N115="","",IF(AND($N115&gt;='設定'!$C$4,$O115&gt;='設定'!$C$5),IF($Q115&gt;=0,"仕入れOK","OK・下落に弱い"),"見送り"))</f>
        <v/>
      </c>
      <c r="S115" s="9" t="n"/>
      <c r="T115" s="8" t="n"/>
      <c r="U115" s="4" t="n"/>
      <c r="V115" s="8" t="n"/>
      <c r="W115" s="12">
        <f>IF(OR($G115="",$U115=""),"",$U115-$G115-$M115-$J115)</f>
        <v/>
      </c>
      <c r="X115" s="12">
        <f>IF(OR($I115="",$U115=""),"",$I115-$U115)</f>
        <v/>
      </c>
      <c r="Y115" s="11">
        <f>IF(OR($T115="",$V115=""),"",$V115-$T115)</f>
        <v/>
      </c>
      <c r="Z115" s="11">
        <f>IF(OR($S115="未発送",$S115="発送済",$S115="査定済",$S115="入金済"),1,0)</f>
        <v/>
      </c>
      <c r="AA115" s="11">
        <f>IF($U115="",0,1)</f>
        <v/>
      </c>
    </row>
    <row r="116">
      <c r="A116" s="8" t="n"/>
      <c r="B116" s="9" t="n"/>
      <c r="C116" s="10" t="n"/>
      <c r="D116" s="9" t="n"/>
      <c r="E116" s="9" t="n"/>
      <c r="F116" s="9" t="n"/>
      <c r="G116" s="4" t="n"/>
      <c r="H116" s="5" t="n"/>
      <c r="I116" s="4" t="n"/>
      <c r="J116" s="4" t="n"/>
      <c r="K116" s="4" t="n"/>
      <c r="L116" s="11">
        <f>IF($G116="","",IF($F116="",1,MAX(1,COUNTIF($F$6:$F$505,$F116)-COUNTIFS($F$6:$F$505,$F116,$S$6:$S$505,"見送り"))))</f>
        <v/>
      </c>
      <c r="M116" s="12">
        <f>IF($G116="","",IF($K116="",'設定'!$C$6,$K116)/$L116)</f>
        <v/>
      </c>
      <c r="N116" s="12">
        <f>IF(OR($G116="",$I116=""),"",$I116-$G116-$M116-$J116)</f>
        <v/>
      </c>
      <c r="O116" s="13">
        <f>IF($N116="","",IF($G116&gt;0,$N116/$G116,0))</f>
        <v/>
      </c>
      <c r="P116" s="12">
        <f>IF($G116="","",$G116*$H116)</f>
        <v/>
      </c>
      <c r="Q116" s="12">
        <f>IF($N116="","",$N116-$I116*'設定'!$C$7)</f>
        <v/>
      </c>
      <c r="R116" s="14">
        <f>IF($N116="","",IF(AND($N116&gt;='設定'!$C$4,$O116&gt;='設定'!$C$5),IF($Q116&gt;=0,"仕入れOK","OK・下落に弱い"),"見送り"))</f>
        <v/>
      </c>
      <c r="S116" s="9" t="n"/>
      <c r="T116" s="8" t="n"/>
      <c r="U116" s="4" t="n"/>
      <c r="V116" s="8" t="n"/>
      <c r="W116" s="12">
        <f>IF(OR($G116="",$U116=""),"",$U116-$G116-$M116-$J116)</f>
        <v/>
      </c>
      <c r="X116" s="12">
        <f>IF(OR($I116="",$U116=""),"",$I116-$U116)</f>
        <v/>
      </c>
      <c r="Y116" s="11">
        <f>IF(OR($T116="",$V116=""),"",$V116-$T116)</f>
        <v/>
      </c>
      <c r="Z116" s="11">
        <f>IF(OR($S116="未発送",$S116="発送済",$S116="査定済",$S116="入金済"),1,0)</f>
        <v/>
      </c>
      <c r="AA116" s="11">
        <f>IF($U116="",0,1)</f>
        <v/>
      </c>
    </row>
    <row r="117">
      <c r="A117" s="8" t="n"/>
      <c r="B117" s="9" t="n"/>
      <c r="C117" s="10" t="n"/>
      <c r="D117" s="9" t="n"/>
      <c r="E117" s="9" t="n"/>
      <c r="F117" s="9" t="n"/>
      <c r="G117" s="4" t="n"/>
      <c r="H117" s="5" t="n"/>
      <c r="I117" s="4" t="n"/>
      <c r="J117" s="4" t="n"/>
      <c r="K117" s="4" t="n"/>
      <c r="L117" s="11">
        <f>IF($G117="","",IF($F117="",1,MAX(1,COUNTIF($F$6:$F$505,$F117)-COUNTIFS($F$6:$F$505,$F117,$S$6:$S$505,"見送り"))))</f>
        <v/>
      </c>
      <c r="M117" s="12">
        <f>IF($G117="","",IF($K117="",'設定'!$C$6,$K117)/$L117)</f>
        <v/>
      </c>
      <c r="N117" s="12">
        <f>IF(OR($G117="",$I117=""),"",$I117-$G117-$M117-$J117)</f>
        <v/>
      </c>
      <c r="O117" s="13">
        <f>IF($N117="","",IF($G117&gt;0,$N117/$G117,0))</f>
        <v/>
      </c>
      <c r="P117" s="12">
        <f>IF($G117="","",$G117*$H117)</f>
        <v/>
      </c>
      <c r="Q117" s="12">
        <f>IF($N117="","",$N117-$I117*'設定'!$C$7)</f>
        <v/>
      </c>
      <c r="R117" s="14">
        <f>IF($N117="","",IF(AND($N117&gt;='設定'!$C$4,$O117&gt;='設定'!$C$5),IF($Q117&gt;=0,"仕入れOK","OK・下落に弱い"),"見送り"))</f>
        <v/>
      </c>
      <c r="S117" s="9" t="n"/>
      <c r="T117" s="8" t="n"/>
      <c r="U117" s="4" t="n"/>
      <c r="V117" s="8" t="n"/>
      <c r="W117" s="12">
        <f>IF(OR($G117="",$U117=""),"",$U117-$G117-$M117-$J117)</f>
        <v/>
      </c>
      <c r="X117" s="12">
        <f>IF(OR($I117="",$U117=""),"",$I117-$U117)</f>
        <v/>
      </c>
      <c r="Y117" s="11">
        <f>IF(OR($T117="",$V117=""),"",$V117-$T117)</f>
        <v/>
      </c>
      <c r="Z117" s="11">
        <f>IF(OR($S117="未発送",$S117="発送済",$S117="査定済",$S117="入金済"),1,0)</f>
        <v/>
      </c>
      <c r="AA117" s="11">
        <f>IF($U117="",0,1)</f>
        <v/>
      </c>
    </row>
    <row r="118">
      <c r="A118" s="8" t="n"/>
      <c r="B118" s="9" t="n"/>
      <c r="C118" s="10" t="n"/>
      <c r="D118" s="9" t="n"/>
      <c r="E118" s="9" t="n"/>
      <c r="F118" s="9" t="n"/>
      <c r="G118" s="4" t="n"/>
      <c r="H118" s="5" t="n"/>
      <c r="I118" s="4" t="n"/>
      <c r="J118" s="4" t="n"/>
      <c r="K118" s="4" t="n"/>
      <c r="L118" s="11">
        <f>IF($G118="","",IF($F118="",1,MAX(1,COUNTIF($F$6:$F$505,$F118)-COUNTIFS($F$6:$F$505,$F118,$S$6:$S$505,"見送り"))))</f>
        <v/>
      </c>
      <c r="M118" s="12">
        <f>IF($G118="","",IF($K118="",'設定'!$C$6,$K118)/$L118)</f>
        <v/>
      </c>
      <c r="N118" s="12">
        <f>IF(OR($G118="",$I118=""),"",$I118-$G118-$M118-$J118)</f>
        <v/>
      </c>
      <c r="O118" s="13">
        <f>IF($N118="","",IF($G118&gt;0,$N118/$G118,0))</f>
        <v/>
      </c>
      <c r="P118" s="12">
        <f>IF($G118="","",$G118*$H118)</f>
        <v/>
      </c>
      <c r="Q118" s="12">
        <f>IF($N118="","",$N118-$I118*'設定'!$C$7)</f>
        <v/>
      </c>
      <c r="R118" s="14">
        <f>IF($N118="","",IF(AND($N118&gt;='設定'!$C$4,$O118&gt;='設定'!$C$5),IF($Q118&gt;=0,"仕入れOK","OK・下落に弱い"),"見送り"))</f>
        <v/>
      </c>
      <c r="S118" s="9" t="n"/>
      <c r="T118" s="8" t="n"/>
      <c r="U118" s="4" t="n"/>
      <c r="V118" s="8" t="n"/>
      <c r="W118" s="12">
        <f>IF(OR($G118="",$U118=""),"",$U118-$G118-$M118-$J118)</f>
        <v/>
      </c>
      <c r="X118" s="12">
        <f>IF(OR($I118="",$U118=""),"",$I118-$U118)</f>
        <v/>
      </c>
      <c r="Y118" s="11">
        <f>IF(OR($T118="",$V118=""),"",$V118-$T118)</f>
        <v/>
      </c>
      <c r="Z118" s="11">
        <f>IF(OR($S118="未発送",$S118="発送済",$S118="査定済",$S118="入金済"),1,0)</f>
        <v/>
      </c>
      <c r="AA118" s="11">
        <f>IF($U118="",0,1)</f>
        <v/>
      </c>
    </row>
    <row r="119">
      <c r="A119" s="8" t="n"/>
      <c r="B119" s="9" t="n"/>
      <c r="C119" s="10" t="n"/>
      <c r="D119" s="9" t="n"/>
      <c r="E119" s="9" t="n"/>
      <c r="F119" s="9" t="n"/>
      <c r="G119" s="4" t="n"/>
      <c r="H119" s="5" t="n"/>
      <c r="I119" s="4" t="n"/>
      <c r="J119" s="4" t="n"/>
      <c r="K119" s="4" t="n"/>
      <c r="L119" s="11">
        <f>IF($G119="","",IF($F119="",1,MAX(1,COUNTIF($F$6:$F$505,$F119)-COUNTIFS($F$6:$F$505,$F119,$S$6:$S$505,"見送り"))))</f>
        <v/>
      </c>
      <c r="M119" s="12">
        <f>IF($G119="","",IF($K119="",'設定'!$C$6,$K119)/$L119)</f>
        <v/>
      </c>
      <c r="N119" s="12">
        <f>IF(OR($G119="",$I119=""),"",$I119-$G119-$M119-$J119)</f>
        <v/>
      </c>
      <c r="O119" s="13">
        <f>IF($N119="","",IF($G119&gt;0,$N119/$G119,0))</f>
        <v/>
      </c>
      <c r="P119" s="12">
        <f>IF($G119="","",$G119*$H119)</f>
        <v/>
      </c>
      <c r="Q119" s="12">
        <f>IF($N119="","",$N119-$I119*'設定'!$C$7)</f>
        <v/>
      </c>
      <c r="R119" s="14">
        <f>IF($N119="","",IF(AND($N119&gt;='設定'!$C$4,$O119&gt;='設定'!$C$5),IF($Q119&gt;=0,"仕入れOK","OK・下落に弱い"),"見送り"))</f>
        <v/>
      </c>
      <c r="S119" s="9" t="n"/>
      <c r="T119" s="8" t="n"/>
      <c r="U119" s="4" t="n"/>
      <c r="V119" s="8" t="n"/>
      <c r="W119" s="12">
        <f>IF(OR($G119="",$U119=""),"",$U119-$G119-$M119-$J119)</f>
        <v/>
      </c>
      <c r="X119" s="12">
        <f>IF(OR($I119="",$U119=""),"",$I119-$U119)</f>
        <v/>
      </c>
      <c r="Y119" s="11">
        <f>IF(OR($T119="",$V119=""),"",$V119-$T119)</f>
        <v/>
      </c>
      <c r="Z119" s="11">
        <f>IF(OR($S119="未発送",$S119="発送済",$S119="査定済",$S119="入金済"),1,0)</f>
        <v/>
      </c>
      <c r="AA119" s="11">
        <f>IF($U119="",0,1)</f>
        <v/>
      </c>
    </row>
    <row r="120">
      <c r="A120" s="8" t="n"/>
      <c r="B120" s="9" t="n"/>
      <c r="C120" s="10" t="n"/>
      <c r="D120" s="9" t="n"/>
      <c r="E120" s="9" t="n"/>
      <c r="F120" s="9" t="n"/>
      <c r="G120" s="4" t="n"/>
      <c r="H120" s="5" t="n"/>
      <c r="I120" s="4" t="n"/>
      <c r="J120" s="4" t="n"/>
      <c r="K120" s="4" t="n"/>
      <c r="L120" s="11">
        <f>IF($G120="","",IF($F120="",1,MAX(1,COUNTIF($F$6:$F$505,$F120)-COUNTIFS($F$6:$F$505,$F120,$S$6:$S$505,"見送り"))))</f>
        <v/>
      </c>
      <c r="M120" s="12">
        <f>IF($G120="","",IF($K120="",'設定'!$C$6,$K120)/$L120)</f>
        <v/>
      </c>
      <c r="N120" s="12">
        <f>IF(OR($G120="",$I120=""),"",$I120-$G120-$M120-$J120)</f>
        <v/>
      </c>
      <c r="O120" s="13">
        <f>IF($N120="","",IF($G120&gt;0,$N120/$G120,0))</f>
        <v/>
      </c>
      <c r="P120" s="12">
        <f>IF($G120="","",$G120*$H120)</f>
        <v/>
      </c>
      <c r="Q120" s="12">
        <f>IF($N120="","",$N120-$I120*'設定'!$C$7)</f>
        <v/>
      </c>
      <c r="R120" s="14">
        <f>IF($N120="","",IF(AND($N120&gt;='設定'!$C$4,$O120&gt;='設定'!$C$5),IF($Q120&gt;=0,"仕入れOK","OK・下落に弱い"),"見送り"))</f>
        <v/>
      </c>
      <c r="S120" s="9" t="n"/>
      <c r="T120" s="8" t="n"/>
      <c r="U120" s="4" t="n"/>
      <c r="V120" s="8" t="n"/>
      <c r="W120" s="12">
        <f>IF(OR($G120="",$U120=""),"",$U120-$G120-$M120-$J120)</f>
        <v/>
      </c>
      <c r="X120" s="12">
        <f>IF(OR($I120="",$U120=""),"",$I120-$U120)</f>
        <v/>
      </c>
      <c r="Y120" s="11">
        <f>IF(OR($T120="",$V120=""),"",$V120-$T120)</f>
        <v/>
      </c>
      <c r="Z120" s="11">
        <f>IF(OR($S120="未発送",$S120="発送済",$S120="査定済",$S120="入金済"),1,0)</f>
        <v/>
      </c>
      <c r="AA120" s="11">
        <f>IF($U120="",0,1)</f>
        <v/>
      </c>
    </row>
    <row r="121">
      <c r="A121" s="8" t="n"/>
      <c r="B121" s="9" t="n"/>
      <c r="C121" s="10" t="n"/>
      <c r="D121" s="9" t="n"/>
      <c r="E121" s="9" t="n"/>
      <c r="F121" s="9" t="n"/>
      <c r="G121" s="4" t="n"/>
      <c r="H121" s="5" t="n"/>
      <c r="I121" s="4" t="n"/>
      <c r="J121" s="4" t="n"/>
      <c r="K121" s="4" t="n"/>
      <c r="L121" s="11">
        <f>IF($G121="","",IF($F121="",1,MAX(1,COUNTIF($F$6:$F$505,$F121)-COUNTIFS($F$6:$F$505,$F121,$S$6:$S$505,"見送り"))))</f>
        <v/>
      </c>
      <c r="M121" s="12">
        <f>IF($G121="","",IF($K121="",'設定'!$C$6,$K121)/$L121)</f>
        <v/>
      </c>
      <c r="N121" s="12">
        <f>IF(OR($G121="",$I121=""),"",$I121-$G121-$M121-$J121)</f>
        <v/>
      </c>
      <c r="O121" s="13">
        <f>IF($N121="","",IF($G121&gt;0,$N121/$G121,0))</f>
        <v/>
      </c>
      <c r="P121" s="12">
        <f>IF($G121="","",$G121*$H121)</f>
        <v/>
      </c>
      <c r="Q121" s="12">
        <f>IF($N121="","",$N121-$I121*'設定'!$C$7)</f>
        <v/>
      </c>
      <c r="R121" s="14">
        <f>IF($N121="","",IF(AND($N121&gt;='設定'!$C$4,$O121&gt;='設定'!$C$5),IF($Q121&gt;=0,"仕入れOK","OK・下落に弱い"),"見送り"))</f>
        <v/>
      </c>
      <c r="S121" s="9" t="n"/>
      <c r="T121" s="8" t="n"/>
      <c r="U121" s="4" t="n"/>
      <c r="V121" s="8" t="n"/>
      <c r="W121" s="12">
        <f>IF(OR($G121="",$U121=""),"",$U121-$G121-$M121-$J121)</f>
        <v/>
      </c>
      <c r="X121" s="12">
        <f>IF(OR($I121="",$U121=""),"",$I121-$U121)</f>
        <v/>
      </c>
      <c r="Y121" s="11">
        <f>IF(OR($T121="",$V121=""),"",$V121-$T121)</f>
        <v/>
      </c>
      <c r="Z121" s="11">
        <f>IF(OR($S121="未発送",$S121="発送済",$S121="査定済",$S121="入金済"),1,0)</f>
        <v/>
      </c>
      <c r="AA121" s="11">
        <f>IF($U121="",0,1)</f>
        <v/>
      </c>
    </row>
    <row r="122">
      <c r="A122" s="8" t="n"/>
      <c r="B122" s="9" t="n"/>
      <c r="C122" s="10" t="n"/>
      <c r="D122" s="9" t="n"/>
      <c r="E122" s="9" t="n"/>
      <c r="F122" s="9" t="n"/>
      <c r="G122" s="4" t="n"/>
      <c r="H122" s="5" t="n"/>
      <c r="I122" s="4" t="n"/>
      <c r="J122" s="4" t="n"/>
      <c r="K122" s="4" t="n"/>
      <c r="L122" s="11">
        <f>IF($G122="","",IF($F122="",1,MAX(1,COUNTIF($F$6:$F$505,$F122)-COUNTIFS($F$6:$F$505,$F122,$S$6:$S$505,"見送り"))))</f>
        <v/>
      </c>
      <c r="M122" s="12">
        <f>IF($G122="","",IF($K122="",'設定'!$C$6,$K122)/$L122)</f>
        <v/>
      </c>
      <c r="N122" s="12">
        <f>IF(OR($G122="",$I122=""),"",$I122-$G122-$M122-$J122)</f>
        <v/>
      </c>
      <c r="O122" s="13">
        <f>IF($N122="","",IF($G122&gt;0,$N122/$G122,0))</f>
        <v/>
      </c>
      <c r="P122" s="12">
        <f>IF($G122="","",$G122*$H122)</f>
        <v/>
      </c>
      <c r="Q122" s="12">
        <f>IF($N122="","",$N122-$I122*'設定'!$C$7)</f>
        <v/>
      </c>
      <c r="R122" s="14">
        <f>IF($N122="","",IF(AND($N122&gt;='設定'!$C$4,$O122&gt;='設定'!$C$5),IF($Q122&gt;=0,"仕入れOK","OK・下落に弱い"),"見送り"))</f>
        <v/>
      </c>
      <c r="S122" s="9" t="n"/>
      <c r="T122" s="8" t="n"/>
      <c r="U122" s="4" t="n"/>
      <c r="V122" s="8" t="n"/>
      <c r="W122" s="12">
        <f>IF(OR($G122="",$U122=""),"",$U122-$G122-$M122-$J122)</f>
        <v/>
      </c>
      <c r="X122" s="12">
        <f>IF(OR($I122="",$U122=""),"",$I122-$U122)</f>
        <v/>
      </c>
      <c r="Y122" s="11">
        <f>IF(OR($T122="",$V122=""),"",$V122-$T122)</f>
        <v/>
      </c>
      <c r="Z122" s="11">
        <f>IF(OR($S122="未発送",$S122="発送済",$S122="査定済",$S122="入金済"),1,0)</f>
        <v/>
      </c>
      <c r="AA122" s="11">
        <f>IF($U122="",0,1)</f>
        <v/>
      </c>
    </row>
    <row r="123">
      <c r="A123" s="8" t="n"/>
      <c r="B123" s="9" t="n"/>
      <c r="C123" s="10" t="n"/>
      <c r="D123" s="9" t="n"/>
      <c r="E123" s="9" t="n"/>
      <c r="F123" s="9" t="n"/>
      <c r="G123" s="4" t="n"/>
      <c r="H123" s="5" t="n"/>
      <c r="I123" s="4" t="n"/>
      <c r="J123" s="4" t="n"/>
      <c r="K123" s="4" t="n"/>
      <c r="L123" s="11">
        <f>IF($G123="","",IF($F123="",1,MAX(1,COUNTIF($F$6:$F$505,$F123)-COUNTIFS($F$6:$F$505,$F123,$S$6:$S$505,"見送り"))))</f>
        <v/>
      </c>
      <c r="M123" s="12">
        <f>IF($G123="","",IF($K123="",'設定'!$C$6,$K123)/$L123)</f>
        <v/>
      </c>
      <c r="N123" s="12">
        <f>IF(OR($G123="",$I123=""),"",$I123-$G123-$M123-$J123)</f>
        <v/>
      </c>
      <c r="O123" s="13">
        <f>IF($N123="","",IF($G123&gt;0,$N123/$G123,0))</f>
        <v/>
      </c>
      <c r="P123" s="12">
        <f>IF($G123="","",$G123*$H123)</f>
        <v/>
      </c>
      <c r="Q123" s="12">
        <f>IF($N123="","",$N123-$I123*'設定'!$C$7)</f>
        <v/>
      </c>
      <c r="R123" s="14">
        <f>IF($N123="","",IF(AND($N123&gt;='設定'!$C$4,$O123&gt;='設定'!$C$5),IF($Q123&gt;=0,"仕入れOK","OK・下落に弱い"),"見送り"))</f>
        <v/>
      </c>
      <c r="S123" s="9" t="n"/>
      <c r="T123" s="8" t="n"/>
      <c r="U123" s="4" t="n"/>
      <c r="V123" s="8" t="n"/>
      <c r="W123" s="12">
        <f>IF(OR($G123="",$U123=""),"",$U123-$G123-$M123-$J123)</f>
        <v/>
      </c>
      <c r="X123" s="12">
        <f>IF(OR($I123="",$U123=""),"",$I123-$U123)</f>
        <v/>
      </c>
      <c r="Y123" s="11">
        <f>IF(OR($T123="",$V123=""),"",$V123-$T123)</f>
        <v/>
      </c>
      <c r="Z123" s="11">
        <f>IF(OR($S123="未発送",$S123="発送済",$S123="査定済",$S123="入金済"),1,0)</f>
        <v/>
      </c>
      <c r="AA123" s="11">
        <f>IF($U123="",0,1)</f>
        <v/>
      </c>
    </row>
    <row r="124">
      <c r="A124" s="8" t="n"/>
      <c r="B124" s="9" t="n"/>
      <c r="C124" s="10" t="n"/>
      <c r="D124" s="9" t="n"/>
      <c r="E124" s="9" t="n"/>
      <c r="F124" s="9" t="n"/>
      <c r="G124" s="4" t="n"/>
      <c r="H124" s="5" t="n"/>
      <c r="I124" s="4" t="n"/>
      <c r="J124" s="4" t="n"/>
      <c r="K124" s="4" t="n"/>
      <c r="L124" s="11">
        <f>IF($G124="","",IF($F124="",1,MAX(1,COUNTIF($F$6:$F$505,$F124)-COUNTIFS($F$6:$F$505,$F124,$S$6:$S$505,"見送り"))))</f>
        <v/>
      </c>
      <c r="M124" s="12">
        <f>IF($G124="","",IF($K124="",'設定'!$C$6,$K124)/$L124)</f>
        <v/>
      </c>
      <c r="N124" s="12">
        <f>IF(OR($G124="",$I124=""),"",$I124-$G124-$M124-$J124)</f>
        <v/>
      </c>
      <c r="O124" s="13">
        <f>IF($N124="","",IF($G124&gt;0,$N124/$G124,0))</f>
        <v/>
      </c>
      <c r="P124" s="12">
        <f>IF($G124="","",$G124*$H124)</f>
        <v/>
      </c>
      <c r="Q124" s="12">
        <f>IF($N124="","",$N124-$I124*'設定'!$C$7)</f>
        <v/>
      </c>
      <c r="R124" s="14">
        <f>IF($N124="","",IF(AND($N124&gt;='設定'!$C$4,$O124&gt;='設定'!$C$5),IF($Q124&gt;=0,"仕入れOK","OK・下落に弱い"),"見送り"))</f>
        <v/>
      </c>
      <c r="S124" s="9" t="n"/>
      <c r="T124" s="8" t="n"/>
      <c r="U124" s="4" t="n"/>
      <c r="V124" s="8" t="n"/>
      <c r="W124" s="12">
        <f>IF(OR($G124="",$U124=""),"",$U124-$G124-$M124-$J124)</f>
        <v/>
      </c>
      <c r="X124" s="12">
        <f>IF(OR($I124="",$U124=""),"",$I124-$U124)</f>
        <v/>
      </c>
      <c r="Y124" s="11">
        <f>IF(OR($T124="",$V124=""),"",$V124-$T124)</f>
        <v/>
      </c>
      <c r="Z124" s="11">
        <f>IF(OR($S124="未発送",$S124="発送済",$S124="査定済",$S124="入金済"),1,0)</f>
        <v/>
      </c>
      <c r="AA124" s="11">
        <f>IF($U124="",0,1)</f>
        <v/>
      </c>
    </row>
    <row r="125">
      <c r="A125" s="8" t="n"/>
      <c r="B125" s="9" t="n"/>
      <c r="C125" s="10" t="n"/>
      <c r="D125" s="9" t="n"/>
      <c r="E125" s="9" t="n"/>
      <c r="F125" s="9" t="n"/>
      <c r="G125" s="4" t="n"/>
      <c r="H125" s="5" t="n"/>
      <c r="I125" s="4" t="n"/>
      <c r="J125" s="4" t="n"/>
      <c r="K125" s="4" t="n"/>
      <c r="L125" s="11">
        <f>IF($G125="","",IF($F125="",1,MAX(1,COUNTIF($F$6:$F$505,$F125)-COUNTIFS($F$6:$F$505,$F125,$S$6:$S$505,"見送り"))))</f>
        <v/>
      </c>
      <c r="M125" s="12">
        <f>IF($G125="","",IF($K125="",'設定'!$C$6,$K125)/$L125)</f>
        <v/>
      </c>
      <c r="N125" s="12">
        <f>IF(OR($G125="",$I125=""),"",$I125-$G125-$M125-$J125)</f>
        <v/>
      </c>
      <c r="O125" s="13">
        <f>IF($N125="","",IF($G125&gt;0,$N125/$G125,0))</f>
        <v/>
      </c>
      <c r="P125" s="12">
        <f>IF($G125="","",$G125*$H125)</f>
        <v/>
      </c>
      <c r="Q125" s="12">
        <f>IF($N125="","",$N125-$I125*'設定'!$C$7)</f>
        <v/>
      </c>
      <c r="R125" s="14">
        <f>IF($N125="","",IF(AND($N125&gt;='設定'!$C$4,$O125&gt;='設定'!$C$5),IF($Q125&gt;=0,"仕入れOK","OK・下落に弱い"),"見送り"))</f>
        <v/>
      </c>
      <c r="S125" s="9" t="n"/>
      <c r="T125" s="8" t="n"/>
      <c r="U125" s="4" t="n"/>
      <c r="V125" s="8" t="n"/>
      <c r="W125" s="12">
        <f>IF(OR($G125="",$U125=""),"",$U125-$G125-$M125-$J125)</f>
        <v/>
      </c>
      <c r="X125" s="12">
        <f>IF(OR($I125="",$U125=""),"",$I125-$U125)</f>
        <v/>
      </c>
      <c r="Y125" s="11">
        <f>IF(OR($T125="",$V125=""),"",$V125-$T125)</f>
        <v/>
      </c>
      <c r="Z125" s="11">
        <f>IF(OR($S125="未発送",$S125="発送済",$S125="査定済",$S125="入金済"),1,0)</f>
        <v/>
      </c>
      <c r="AA125" s="11">
        <f>IF($U125="",0,1)</f>
        <v/>
      </c>
    </row>
    <row r="126">
      <c r="A126" s="8" t="n"/>
      <c r="B126" s="9" t="n"/>
      <c r="C126" s="10" t="n"/>
      <c r="D126" s="9" t="n"/>
      <c r="E126" s="9" t="n"/>
      <c r="F126" s="9" t="n"/>
      <c r="G126" s="4" t="n"/>
      <c r="H126" s="5" t="n"/>
      <c r="I126" s="4" t="n"/>
      <c r="J126" s="4" t="n"/>
      <c r="K126" s="4" t="n"/>
      <c r="L126" s="11">
        <f>IF($G126="","",IF($F126="",1,MAX(1,COUNTIF($F$6:$F$505,$F126)-COUNTIFS($F$6:$F$505,$F126,$S$6:$S$505,"見送り"))))</f>
        <v/>
      </c>
      <c r="M126" s="12">
        <f>IF($G126="","",IF($K126="",'設定'!$C$6,$K126)/$L126)</f>
        <v/>
      </c>
      <c r="N126" s="12">
        <f>IF(OR($G126="",$I126=""),"",$I126-$G126-$M126-$J126)</f>
        <v/>
      </c>
      <c r="O126" s="13">
        <f>IF($N126="","",IF($G126&gt;0,$N126/$G126,0))</f>
        <v/>
      </c>
      <c r="P126" s="12">
        <f>IF($G126="","",$G126*$H126)</f>
        <v/>
      </c>
      <c r="Q126" s="12">
        <f>IF($N126="","",$N126-$I126*'設定'!$C$7)</f>
        <v/>
      </c>
      <c r="R126" s="14">
        <f>IF($N126="","",IF(AND($N126&gt;='設定'!$C$4,$O126&gt;='設定'!$C$5),IF($Q126&gt;=0,"仕入れOK","OK・下落に弱い"),"見送り"))</f>
        <v/>
      </c>
      <c r="S126" s="9" t="n"/>
      <c r="T126" s="8" t="n"/>
      <c r="U126" s="4" t="n"/>
      <c r="V126" s="8" t="n"/>
      <c r="W126" s="12">
        <f>IF(OR($G126="",$U126=""),"",$U126-$G126-$M126-$J126)</f>
        <v/>
      </c>
      <c r="X126" s="12">
        <f>IF(OR($I126="",$U126=""),"",$I126-$U126)</f>
        <v/>
      </c>
      <c r="Y126" s="11">
        <f>IF(OR($T126="",$V126=""),"",$V126-$T126)</f>
        <v/>
      </c>
      <c r="Z126" s="11">
        <f>IF(OR($S126="未発送",$S126="発送済",$S126="査定済",$S126="入金済"),1,0)</f>
        <v/>
      </c>
      <c r="AA126" s="11">
        <f>IF($U126="",0,1)</f>
        <v/>
      </c>
    </row>
    <row r="127">
      <c r="A127" s="8" t="n"/>
      <c r="B127" s="9" t="n"/>
      <c r="C127" s="10" t="n"/>
      <c r="D127" s="9" t="n"/>
      <c r="E127" s="9" t="n"/>
      <c r="F127" s="9" t="n"/>
      <c r="G127" s="4" t="n"/>
      <c r="H127" s="5" t="n"/>
      <c r="I127" s="4" t="n"/>
      <c r="J127" s="4" t="n"/>
      <c r="K127" s="4" t="n"/>
      <c r="L127" s="11">
        <f>IF($G127="","",IF($F127="",1,MAX(1,COUNTIF($F$6:$F$505,$F127)-COUNTIFS($F$6:$F$505,$F127,$S$6:$S$505,"見送り"))))</f>
        <v/>
      </c>
      <c r="M127" s="12">
        <f>IF($G127="","",IF($K127="",'設定'!$C$6,$K127)/$L127)</f>
        <v/>
      </c>
      <c r="N127" s="12">
        <f>IF(OR($G127="",$I127=""),"",$I127-$G127-$M127-$J127)</f>
        <v/>
      </c>
      <c r="O127" s="13">
        <f>IF($N127="","",IF($G127&gt;0,$N127/$G127,0))</f>
        <v/>
      </c>
      <c r="P127" s="12">
        <f>IF($G127="","",$G127*$H127)</f>
        <v/>
      </c>
      <c r="Q127" s="12">
        <f>IF($N127="","",$N127-$I127*'設定'!$C$7)</f>
        <v/>
      </c>
      <c r="R127" s="14">
        <f>IF($N127="","",IF(AND($N127&gt;='設定'!$C$4,$O127&gt;='設定'!$C$5),IF($Q127&gt;=0,"仕入れOK","OK・下落に弱い"),"見送り"))</f>
        <v/>
      </c>
      <c r="S127" s="9" t="n"/>
      <c r="T127" s="8" t="n"/>
      <c r="U127" s="4" t="n"/>
      <c r="V127" s="8" t="n"/>
      <c r="W127" s="12">
        <f>IF(OR($G127="",$U127=""),"",$U127-$G127-$M127-$J127)</f>
        <v/>
      </c>
      <c r="X127" s="12">
        <f>IF(OR($I127="",$U127=""),"",$I127-$U127)</f>
        <v/>
      </c>
      <c r="Y127" s="11">
        <f>IF(OR($T127="",$V127=""),"",$V127-$T127)</f>
        <v/>
      </c>
      <c r="Z127" s="11">
        <f>IF(OR($S127="未発送",$S127="発送済",$S127="査定済",$S127="入金済"),1,0)</f>
        <v/>
      </c>
      <c r="AA127" s="11">
        <f>IF($U127="",0,1)</f>
        <v/>
      </c>
    </row>
    <row r="128">
      <c r="A128" s="8" t="n"/>
      <c r="B128" s="9" t="n"/>
      <c r="C128" s="10" t="n"/>
      <c r="D128" s="9" t="n"/>
      <c r="E128" s="9" t="n"/>
      <c r="F128" s="9" t="n"/>
      <c r="G128" s="4" t="n"/>
      <c r="H128" s="5" t="n"/>
      <c r="I128" s="4" t="n"/>
      <c r="J128" s="4" t="n"/>
      <c r="K128" s="4" t="n"/>
      <c r="L128" s="11">
        <f>IF($G128="","",IF($F128="",1,MAX(1,COUNTIF($F$6:$F$505,$F128)-COUNTIFS($F$6:$F$505,$F128,$S$6:$S$505,"見送り"))))</f>
        <v/>
      </c>
      <c r="M128" s="12">
        <f>IF($G128="","",IF($K128="",'設定'!$C$6,$K128)/$L128)</f>
        <v/>
      </c>
      <c r="N128" s="12">
        <f>IF(OR($G128="",$I128=""),"",$I128-$G128-$M128-$J128)</f>
        <v/>
      </c>
      <c r="O128" s="13">
        <f>IF($N128="","",IF($G128&gt;0,$N128/$G128,0))</f>
        <v/>
      </c>
      <c r="P128" s="12">
        <f>IF($G128="","",$G128*$H128)</f>
        <v/>
      </c>
      <c r="Q128" s="12">
        <f>IF($N128="","",$N128-$I128*'設定'!$C$7)</f>
        <v/>
      </c>
      <c r="R128" s="14">
        <f>IF($N128="","",IF(AND($N128&gt;='設定'!$C$4,$O128&gt;='設定'!$C$5),IF($Q128&gt;=0,"仕入れOK","OK・下落に弱い"),"見送り"))</f>
        <v/>
      </c>
      <c r="S128" s="9" t="n"/>
      <c r="T128" s="8" t="n"/>
      <c r="U128" s="4" t="n"/>
      <c r="V128" s="8" t="n"/>
      <c r="W128" s="12">
        <f>IF(OR($G128="",$U128=""),"",$U128-$G128-$M128-$J128)</f>
        <v/>
      </c>
      <c r="X128" s="12">
        <f>IF(OR($I128="",$U128=""),"",$I128-$U128)</f>
        <v/>
      </c>
      <c r="Y128" s="11">
        <f>IF(OR($T128="",$V128=""),"",$V128-$T128)</f>
        <v/>
      </c>
      <c r="Z128" s="11">
        <f>IF(OR($S128="未発送",$S128="発送済",$S128="査定済",$S128="入金済"),1,0)</f>
        <v/>
      </c>
      <c r="AA128" s="11">
        <f>IF($U128="",0,1)</f>
        <v/>
      </c>
    </row>
    <row r="129">
      <c r="A129" s="8" t="n"/>
      <c r="B129" s="9" t="n"/>
      <c r="C129" s="10" t="n"/>
      <c r="D129" s="9" t="n"/>
      <c r="E129" s="9" t="n"/>
      <c r="F129" s="9" t="n"/>
      <c r="G129" s="4" t="n"/>
      <c r="H129" s="5" t="n"/>
      <c r="I129" s="4" t="n"/>
      <c r="J129" s="4" t="n"/>
      <c r="K129" s="4" t="n"/>
      <c r="L129" s="11">
        <f>IF($G129="","",IF($F129="",1,MAX(1,COUNTIF($F$6:$F$505,$F129)-COUNTIFS($F$6:$F$505,$F129,$S$6:$S$505,"見送り"))))</f>
        <v/>
      </c>
      <c r="M129" s="12">
        <f>IF($G129="","",IF($K129="",'設定'!$C$6,$K129)/$L129)</f>
        <v/>
      </c>
      <c r="N129" s="12">
        <f>IF(OR($G129="",$I129=""),"",$I129-$G129-$M129-$J129)</f>
        <v/>
      </c>
      <c r="O129" s="13">
        <f>IF($N129="","",IF($G129&gt;0,$N129/$G129,0))</f>
        <v/>
      </c>
      <c r="P129" s="12">
        <f>IF($G129="","",$G129*$H129)</f>
        <v/>
      </c>
      <c r="Q129" s="12">
        <f>IF($N129="","",$N129-$I129*'設定'!$C$7)</f>
        <v/>
      </c>
      <c r="R129" s="14">
        <f>IF($N129="","",IF(AND($N129&gt;='設定'!$C$4,$O129&gt;='設定'!$C$5),IF($Q129&gt;=0,"仕入れOK","OK・下落に弱い"),"見送り"))</f>
        <v/>
      </c>
      <c r="S129" s="9" t="n"/>
      <c r="T129" s="8" t="n"/>
      <c r="U129" s="4" t="n"/>
      <c r="V129" s="8" t="n"/>
      <c r="W129" s="12">
        <f>IF(OR($G129="",$U129=""),"",$U129-$G129-$M129-$J129)</f>
        <v/>
      </c>
      <c r="X129" s="12">
        <f>IF(OR($I129="",$U129=""),"",$I129-$U129)</f>
        <v/>
      </c>
      <c r="Y129" s="11">
        <f>IF(OR($T129="",$V129=""),"",$V129-$T129)</f>
        <v/>
      </c>
      <c r="Z129" s="11">
        <f>IF(OR($S129="未発送",$S129="発送済",$S129="査定済",$S129="入金済"),1,0)</f>
        <v/>
      </c>
      <c r="AA129" s="11">
        <f>IF($U129="",0,1)</f>
        <v/>
      </c>
    </row>
    <row r="130">
      <c r="A130" s="8" t="n"/>
      <c r="B130" s="9" t="n"/>
      <c r="C130" s="10" t="n"/>
      <c r="D130" s="9" t="n"/>
      <c r="E130" s="9" t="n"/>
      <c r="F130" s="9" t="n"/>
      <c r="G130" s="4" t="n"/>
      <c r="H130" s="5" t="n"/>
      <c r="I130" s="4" t="n"/>
      <c r="J130" s="4" t="n"/>
      <c r="K130" s="4" t="n"/>
      <c r="L130" s="11">
        <f>IF($G130="","",IF($F130="",1,MAX(1,COUNTIF($F$6:$F$505,$F130)-COUNTIFS($F$6:$F$505,$F130,$S$6:$S$505,"見送り"))))</f>
        <v/>
      </c>
      <c r="M130" s="12">
        <f>IF($G130="","",IF($K130="",'設定'!$C$6,$K130)/$L130)</f>
        <v/>
      </c>
      <c r="N130" s="12">
        <f>IF(OR($G130="",$I130=""),"",$I130-$G130-$M130-$J130)</f>
        <v/>
      </c>
      <c r="O130" s="13">
        <f>IF($N130="","",IF($G130&gt;0,$N130/$G130,0))</f>
        <v/>
      </c>
      <c r="P130" s="12">
        <f>IF($G130="","",$G130*$H130)</f>
        <v/>
      </c>
      <c r="Q130" s="12">
        <f>IF($N130="","",$N130-$I130*'設定'!$C$7)</f>
        <v/>
      </c>
      <c r="R130" s="14">
        <f>IF($N130="","",IF(AND($N130&gt;='設定'!$C$4,$O130&gt;='設定'!$C$5),IF($Q130&gt;=0,"仕入れOK","OK・下落に弱い"),"見送り"))</f>
        <v/>
      </c>
      <c r="S130" s="9" t="n"/>
      <c r="T130" s="8" t="n"/>
      <c r="U130" s="4" t="n"/>
      <c r="V130" s="8" t="n"/>
      <c r="W130" s="12">
        <f>IF(OR($G130="",$U130=""),"",$U130-$G130-$M130-$J130)</f>
        <v/>
      </c>
      <c r="X130" s="12">
        <f>IF(OR($I130="",$U130=""),"",$I130-$U130)</f>
        <v/>
      </c>
      <c r="Y130" s="11">
        <f>IF(OR($T130="",$V130=""),"",$V130-$T130)</f>
        <v/>
      </c>
      <c r="Z130" s="11">
        <f>IF(OR($S130="未発送",$S130="発送済",$S130="査定済",$S130="入金済"),1,0)</f>
        <v/>
      </c>
      <c r="AA130" s="11">
        <f>IF($U130="",0,1)</f>
        <v/>
      </c>
    </row>
    <row r="131">
      <c r="A131" s="8" t="n"/>
      <c r="B131" s="9" t="n"/>
      <c r="C131" s="10" t="n"/>
      <c r="D131" s="9" t="n"/>
      <c r="E131" s="9" t="n"/>
      <c r="F131" s="9" t="n"/>
      <c r="G131" s="4" t="n"/>
      <c r="H131" s="5" t="n"/>
      <c r="I131" s="4" t="n"/>
      <c r="J131" s="4" t="n"/>
      <c r="K131" s="4" t="n"/>
      <c r="L131" s="11">
        <f>IF($G131="","",IF($F131="",1,MAX(1,COUNTIF($F$6:$F$505,$F131)-COUNTIFS($F$6:$F$505,$F131,$S$6:$S$505,"見送り"))))</f>
        <v/>
      </c>
      <c r="M131" s="12">
        <f>IF($G131="","",IF($K131="",'設定'!$C$6,$K131)/$L131)</f>
        <v/>
      </c>
      <c r="N131" s="12">
        <f>IF(OR($G131="",$I131=""),"",$I131-$G131-$M131-$J131)</f>
        <v/>
      </c>
      <c r="O131" s="13">
        <f>IF($N131="","",IF($G131&gt;0,$N131/$G131,0))</f>
        <v/>
      </c>
      <c r="P131" s="12">
        <f>IF($G131="","",$G131*$H131)</f>
        <v/>
      </c>
      <c r="Q131" s="12">
        <f>IF($N131="","",$N131-$I131*'設定'!$C$7)</f>
        <v/>
      </c>
      <c r="R131" s="14">
        <f>IF($N131="","",IF(AND($N131&gt;='設定'!$C$4,$O131&gt;='設定'!$C$5),IF($Q131&gt;=0,"仕入れOK","OK・下落に弱い"),"見送り"))</f>
        <v/>
      </c>
      <c r="S131" s="9" t="n"/>
      <c r="T131" s="8" t="n"/>
      <c r="U131" s="4" t="n"/>
      <c r="V131" s="8" t="n"/>
      <c r="W131" s="12">
        <f>IF(OR($G131="",$U131=""),"",$U131-$G131-$M131-$J131)</f>
        <v/>
      </c>
      <c r="X131" s="12">
        <f>IF(OR($I131="",$U131=""),"",$I131-$U131)</f>
        <v/>
      </c>
      <c r="Y131" s="11">
        <f>IF(OR($T131="",$V131=""),"",$V131-$T131)</f>
        <v/>
      </c>
      <c r="Z131" s="11">
        <f>IF(OR($S131="未発送",$S131="発送済",$S131="査定済",$S131="入金済"),1,0)</f>
        <v/>
      </c>
      <c r="AA131" s="11">
        <f>IF($U131="",0,1)</f>
        <v/>
      </c>
    </row>
    <row r="132">
      <c r="A132" s="8" t="n"/>
      <c r="B132" s="9" t="n"/>
      <c r="C132" s="10" t="n"/>
      <c r="D132" s="9" t="n"/>
      <c r="E132" s="9" t="n"/>
      <c r="F132" s="9" t="n"/>
      <c r="G132" s="4" t="n"/>
      <c r="H132" s="5" t="n"/>
      <c r="I132" s="4" t="n"/>
      <c r="J132" s="4" t="n"/>
      <c r="K132" s="4" t="n"/>
      <c r="L132" s="11">
        <f>IF($G132="","",IF($F132="",1,MAX(1,COUNTIF($F$6:$F$505,$F132)-COUNTIFS($F$6:$F$505,$F132,$S$6:$S$505,"見送り"))))</f>
        <v/>
      </c>
      <c r="M132" s="12">
        <f>IF($G132="","",IF($K132="",'設定'!$C$6,$K132)/$L132)</f>
        <v/>
      </c>
      <c r="N132" s="12">
        <f>IF(OR($G132="",$I132=""),"",$I132-$G132-$M132-$J132)</f>
        <v/>
      </c>
      <c r="O132" s="13">
        <f>IF($N132="","",IF($G132&gt;0,$N132/$G132,0))</f>
        <v/>
      </c>
      <c r="P132" s="12">
        <f>IF($G132="","",$G132*$H132)</f>
        <v/>
      </c>
      <c r="Q132" s="12">
        <f>IF($N132="","",$N132-$I132*'設定'!$C$7)</f>
        <v/>
      </c>
      <c r="R132" s="14">
        <f>IF($N132="","",IF(AND($N132&gt;='設定'!$C$4,$O132&gt;='設定'!$C$5),IF($Q132&gt;=0,"仕入れOK","OK・下落に弱い"),"見送り"))</f>
        <v/>
      </c>
      <c r="S132" s="9" t="n"/>
      <c r="T132" s="8" t="n"/>
      <c r="U132" s="4" t="n"/>
      <c r="V132" s="8" t="n"/>
      <c r="W132" s="12">
        <f>IF(OR($G132="",$U132=""),"",$U132-$G132-$M132-$J132)</f>
        <v/>
      </c>
      <c r="X132" s="12">
        <f>IF(OR($I132="",$U132=""),"",$I132-$U132)</f>
        <v/>
      </c>
      <c r="Y132" s="11">
        <f>IF(OR($T132="",$V132=""),"",$V132-$T132)</f>
        <v/>
      </c>
      <c r="Z132" s="11">
        <f>IF(OR($S132="未発送",$S132="発送済",$S132="査定済",$S132="入金済"),1,0)</f>
        <v/>
      </c>
      <c r="AA132" s="11">
        <f>IF($U132="",0,1)</f>
        <v/>
      </c>
    </row>
    <row r="133">
      <c r="A133" s="8" t="n"/>
      <c r="B133" s="9" t="n"/>
      <c r="C133" s="10" t="n"/>
      <c r="D133" s="9" t="n"/>
      <c r="E133" s="9" t="n"/>
      <c r="F133" s="9" t="n"/>
      <c r="G133" s="4" t="n"/>
      <c r="H133" s="5" t="n"/>
      <c r="I133" s="4" t="n"/>
      <c r="J133" s="4" t="n"/>
      <c r="K133" s="4" t="n"/>
      <c r="L133" s="11">
        <f>IF($G133="","",IF($F133="",1,MAX(1,COUNTIF($F$6:$F$505,$F133)-COUNTIFS($F$6:$F$505,$F133,$S$6:$S$505,"見送り"))))</f>
        <v/>
      </c>
      <c r="M133" s="12">
        <f>IF($G133="","",IF($K133="",'設定'!$C$6,$K133)/$L133)</f>
        <v/>
      </c>
      <c r="N133" s="12">
        <f>IF(OR($G133="",$I133=""),"",$I133-$G133-$M133-$J133)</f>
        <v/>
      </c>
      <c r="O133" s="13">
        <f>IF($N133="","",IF($G133&gt;0,$N133/$G133,0))</f>
        <v/>
      </c>
      <c r="P133" s="12">
        <f>IF($G133="","",$G133*$H133)</f>
        <v/>
      </c>
      <c r="Q133" s="12">
        <f>IF($N133="","",$N133-$I133*'設定'!$C$7)</f>
        <v/>
      </c>
      <c r="R133" s="14">
        <f>IF($N133="","",IF(AND($N133&gt;='設定'!$C$4,$O133&gt;='設定'!$C$5),IF($Q133&gt;=0,"仕入れOK","OK・下落に弱い"),"見送り"))</f>
        <v/>
      </c>
      <c r="S133" s="9" t="n"/>
      <c r="T133" s="8" t="n"/>
      <c r="U133" s="4" t="n"/>
      <c r="V133" s="8" t="n"/>
      <c r="W133" s="12">
        <f>IF(OR($G133="",$U133=""),"",$U133-$G133-$M133-$J133)</f>
        <v/>
      </c>
      <c r="X133" s="12">
        <f>IF(OR($I133="",$U133=""),"",$I133-$U133)</f>
        <v/>
      </c>
      <c r="Y133" s="11">
        <f>IF(OR($T133="",$V133=""),"",$V133-$T133)</f>
        <v/>
      </c>
      <c r="Z133" s="11">
        <f>IF(OR($S133="未発送",$S133="発送済",$S133="査定済",$S133="入金済"),1,0)</f>
        <v/>
      </c>
      <c r="AA133" s="11">
        <f>IF($U133="",0,1)</f>
        <v/>
      </c>
    </row>
    <row r="134">
      <c r="A134" s="8" t="n"/>
      <c r="B134" s="9" t="n"/>
      <c r="C134" s="10" t="n"/>
      <c r="D134" s="9" t="n"/>
      <c r="E134" s="9" t="n"/>
      <c r="F134" s="9" t="n"/>
      <c r="G134" s="4" t="n"/>
      <c r="H134" s="5" t="n"/>
      <c r="I134" s="4" t="n"/>
      <c r="J134" s="4" t="n"/>
      <c r="K134" s="4" t="n"/>
      <c r="L134" s="11">
        <f>IF($G134="","",IF($F134="",1,MAX(1,COUNTIF($F$6:$F$505,$F134)-COUNTIFS($F$6:$F$505,$F134,$S$6:$S$505,"見送り"))))</f>
        <v/>
      </c>
      <c r="M134" s="12">
        <f>IF($G134="","",IF($K134="",'設定'!$C$6,$K134)/$L134)</f>
        <v/>
      </c>
      <c r="N134" s="12">
        <f>IF(OR($G134="",$I134=""),"",$I134-$G134-$M134-$J134)</f>
        <v/>
      </c>
      <c r="O134" s="13">
        <f>IF($N134="","",IF($G134&gt;0,$N134/$G134,0))</f>
        <v/>
      </c>
      <c r="P134" s="12">
        <f>IF($G134="","",$G134*$H134)</f>
        <v/>
      </c>
      <c r="Q134" s="12">
        <f>IF($N134="","",$N134-$I134*'設定'!$C$7)</f>
        <v/>
      </c>
      <c r="R134" s="14">
        <f>IF($N134="","",IF(AND($N134&gt;='設定'!$C$4,$O134&gt;='設定'!$C$5),IF($Q134&gt;=0,"仕入れOK","OK・下落に弱い"),"見送り"))</f>
        <v/>
      </c>
      <c r="S134" s="9" t="n"/>
      <c r="T134" s="8" t="n"/>
      <c r="U134" s="4" t="n"/>
      <c r="V134" s="8" t="n"/>
      <c r="W134" s="12">
        <f>IF(OR($G134="",$U134=""),"",$U134-$G134-$M134-$J134)</f>
        <v/>
      </c>
      <c r="X134" s="12">
        <f>IF(OR($I134="",$U134=""),"",$I134-$U134)</f>
        <v/>
      </c>
      <c r="Y134" s="11">
        <f>IF(OR($T134="",$V134=""),"",$V134-$T134)</f>
        <v/>
      </c>
      <c r="Z134" s="11">
        <f>IF(OR($S134="未発送",$S134="発送済",$S134="査定済",$S134="入金済"),1,0)</f>
        <v/>
      </c>
      <c r="AA134" s="11">
        <f>IF($U134="",0,1)</f>
        <v/>
      </c>
    </row>
    <row r="135">
      <c r="A135" s="8" t="n"/>
      <c r="B135" s="9" t="n"/>
      <c r="C135" s="10" t="n"/>
      <c r="D135" s="9" t="n"/>
      <c r="E135" s="9" t="n"/>
      <c r="F135" s="9" t="n"/>
      <c r="G135" s="4" t="n"/>
      <c r="H135" s="5" t="n"/>
      <c r="I135" s="4" t="n"/>
      <c r="J135" s="4" t="n"/>
      <c r="K135" s="4" t="n"/>
      <c r="L135" s="11">
        <f>IF($G135="","",IF($F135="",1,MAX(1,COUNTIF($F$6:$F$505,$F135)-COUNTIFS($F$6:$F$505,$F135,$S$6:$S$505,"見送り"))))</f>
        <v/>
      </c>
      <c r="M135" s="12">
        <f>IF($G135="","",IF($K135="",'設定'!$C$6,$K135)/$L135)</f>
        <v/>
      </c>
      <c r="N135" s="12">
        <f>IF(OR($G135="",$I135=""),"",$I135-$G135-$M135-$J135)</f>
        <v/>
      </c>
      <c r="O135" s="13">
        <f>IF($N135="","",IF($G135&gt;0,$N135/$G135,0))</f>
        <v/>
      </c>
      <c r="P135" s="12">
        <f>IF($G135="","",$G135*$H135)</f>
        <v/>
      </c>
      <c r="Q135" s="12">
        <f>IF($N135="","",$N135-$I135*'設定'!$C$7)</f>
        <v/>
      </c>
      <c r="R135" s="14">
        <f>IF($N135="","",IF(AND($N135&gt;='設定'!$C$4,$O135&gt;='設定'!$C$5),IF($Q135&gt;=0,"仕入れOK","OK・下落に弱い"),"見送り"))</f>
        <v/>
      </c>
      <c r="S135" s="9" t="n"/>
      <c r="T135" s="8" t="n"/>
      <c r="U135" s="4" t="n"/>
      <c r="V135" s="8" t="n"/>
      <c r="W135" s="12">
        <f>IF(OR($G135="",$U135=""),"",$U135-$G135-$M135-$J135)</f>
        <v/>
      </c>
      <c r="X135" s="12">
        <f>IF(OR($I135="",$U135=""),"",$I135-$U135)</f>
        <v/>
      </c>
      <c r="Y135" s="11">
        <f>IF(OR($T135="",$V135=""),"",$V135-$T135)</f>
        <v/>
      </c>
      <c r="Z135" s="11">
        <f>IF(OR($S135="未発送",$S135="発送済",$S135="査定済",$S135="入金済"),1,0)</f>
        <v/>
      </c>
      <c r="AA135" s="11">
        <f>IF($U135="",0,1)</f>
        <v/>
      </c>
    </row>
    <row r="136">
      <c r="A136" s="8" t="n"/>
      <c r="B136" s="9" t="n"/>
      <c r="C136" s="10" t="n"/>
      <c r="D136" s="9" t="n"/>
      <c r="E136" s="9" t="n"/>
      <c r="F136" s="9" t="n"/>
      <c r="G136" s="4" t="n"/>
      <c r="H136" s="5" t="n"/>
      <c r="I136" s="4" t="n"/>
      <c r="J136" s="4" t="n"/>
      <c r="K136" s="4" t="n"/>
      <c r="L136" s="11">
        <f>IF($G136="","",IF($F136="",1,MAX(1,COUNTIF($F$6:$F$505,$F136)-COUNTIFS($F$6:$F$505,$F136,$S$6:$S$505,"見送り"))))</f>
        <v/>
      </c>
      <c r="M136" s="12">
        <f>IF($G136="","",IF($K136="",'設定'!$C$6,$K136)/$L136)</f>
        <v/>
      </c>
      <c r="N136" s="12">
        <f>IF(OR($G136="",$I136=""),"",$I136-$G136-$M136-$J136)</f>
        <v/>
      </c>
      <c r="O136" s="13">
        <f>IF($N136="","",IF($G136&gt;0,$N136/$G136,0))</f>
        <v/>
      </c>
      <c r="P136" s="12">
        <f>IF($G136="","",$G136*$H136)</f>
        <v/>
      </c>
      <c r="Q136" s="12">
        <f>IF($N136="","",$N136-$I136*'設定'!$C$7)</f>
        <v/>
      </c>
      <c r="R136" s="14">
        <f>IF($N136="","",IF(AND($N136&gt;='設定'!$C$4,$O136&gt;='設定'!$C$5),IF($Q136&gt;=0,"仕入れOK","OK・下落に弱い"),"見送り"))</f>
        <v/>
      </c>
      <c r="S136" s="9" t="n"/>
      <c r="T136" s="8" t="n"/>
      <c r="U136" s="4" t="n"/>
      <c r="V136" s="8" t="n"/>
      <c r="W136" s="12">
        <f>IF(OR($G136="",$U136=""),"",$U136-$G136-$M136-$J136)</f>
        <v/>
      </c>
      <c r="X136" s="12">
        <f>IF(OR($I136="",$U136=""),"",$I136-$U136)</f>
        <v/>
      </c>
      <c r="Y136" s="11">
        <f>IF(OR($T136="",$V136=""),"",$V136-$T136)</f>
        <v/>
      </c>
      <c r="Z136" s="11">
        <f>IF(OR($S136="未発送",$S136="発送済",$S136="査定済",$S136="入金済"),1,0)</f>
        <v/>
      </c>
      <c r="AA136" s="11">
        <f>IF($U136="",0,1)</f>
        <v/>
      </c>
    </row>
    <row r="137">
      <c r="A137" s="8" t="n"/>
      <c r="B137" s="9" t="n"/>
      <c r="C137" s="10" t="n"/>
      <c r="D137" s="9" t="n"/>
      <c r="E137" s="9" t="n"/>
      <c r="F137" s="9" t="n"/>
      <c r="G137" s="4" t="n"/>
      <c r="H137" s="5" t="n"/>
      <c r="I137" s="4" t="n"/>
      <c r="J137" s="4" t="n"/>
      <c r="K137" s="4" t="n"/>
      <c r="L137" s="11">
        <f>IF($G137="","",IF($F137="",1,MAX(1,COUNTIF($F$6:$F$505,$F137)-COUNTIFS($F$6:$F$505,$F137,$S$6:$S$505,"見送り"))))</f>
        <v/>
      </c>
      <c r="M137" s="12">
        <f>IF($G137="","",IF($K137="",'設定'!$C$6,$K137)/$L137)</f>
        <v/>
      </c>
      <c r="N137" s="12">
        <f>IF(OR($G137="",$I137=""),"",$I137-$G137-$M137-$J137)</f>
        <v/>
      </c>
      <c r="O137" s="13">
        <f>IF($N137="","",IF($G137&gt;0,$N137/$G137,0))</f>
        <v/>
      </c>
      <c r="P137" s="12">
        <f>IF($G137="","",$G137*$H137)</f>
        <v/>
      </c>
      <c r="Q137" s="12">
        <f>IF($N137="","",$N137-$I137*'設定'!$C$7)</f>
        <v/>
      </c>
      <c r="R137" s="14">
        <f>IF($N137="","",IF(AND($N137&gt;='設定'!$C$4,$O137&gt;='設定'!$C$5),IF($Q137&gt;=0,"仕入れOK","OK・下落に弱い"),"見送り"))</f>
        <v/>
      </c>
      <c r="S137" s="9" t="n"/>
      <c r="T137" s="8" t="n"/>
      <c r="U137" s="4" t="n"/>
      <c r="V137" s="8" t="n"/>
      <c r="W137" s="12">
        <f>IF(OR($G137="",$U137=""),"",$U137-$G137-$M137-$J137)</f>
        <v/>
      </c>
      <c r="X137" s="12">
        <f>IF(OR($I137="",$U137=""),"",$I137-$U137)</f>
        <v/>
      </c>
      <c r="Y137" s="11">
        <f>IF(OR($T137="",$V137=""),"",$V137-$T137)</f>
        <v/>
      </c>
      <c r="Z137" s="11">
        <f>IF(OR($S137="未発送",$S137="発送済",$S137="査定済",$S137="入金済"),1,0)</f>
        <v/>
      </c>
      <c r="AA137" s="11">
        <f>IF($U137="",0,1)</f>
        <v/>
      </c>
    </row>
    <row r="138">
      <c r="A138" s="8" t="n"/>
      <c r="B138" s="9" t="n"/>
      <c r="C138" s="10" t="n"/>
      <c r="D138" s="9" t="n"/>
      <c r="E138" s="9" t="n"/>
      <c r="F138" s="9" t="n"/>
      <c r="G138" s="4" t="n"/>
      <c r="H138" s="5" t="n"/>
      <c r="I138" s="4" t="n"/>
      <c r="J138" s="4" t="n"/>
      <c r="K138" s="4" t="n"/>
      <c r="L138" s="11">
        <f>IF($G138="","",IF($F138="",1,MAX(1,COUNTIF($F$6:$F$505,$F138)-COUNTIFS($F$6:$F$505,$F138,$S$6:$S$505,"見送り"))))</f>
        <v/>
      </c>
      <c r="M138" s="12">
        <f>IF($G138="","",IF($K138="",'設定'!$C$6,$K138)/$L138)</f>
        <v/>
      </c>
      <c r="N138" s="12">
        <f>IF(OR($G138="",$I138=""),"",$I138-$G138-$M138-$J138)</f>
        <v/>
      </c>
      <c r="O138" s="13">
        <f>IF($N138="","",IF($G138&gt;0,$N138/$G138,0))</f>
        <v/>
      </c>
      <c r="P138" s="12">
        <f>IF($G138="","",$G138*$H138)</f>
        <v/>
      </c>
      <c r="Q138" s="12">
        <f>IF($N138="","",$N138-$I138*'設定'!$C$7)</f>
        <v/>
      </c>
      <c r="R138" s="14">
        <f>IF($N138="","",IF(AND($N138&gt;='設定'!$C$4,$O138&gt;='設定'!$C$5),IF($Q138&gt;=0,"仕入れOK","OK・下落に弱い"),"見送り"))</f>
        <v/>
      </c>
      <c r="S138" s="9" t="n"/>
      <c r="T138" s="8" t="n"/>
      <c r="U138" s="4" t="n"/>
      <c r="V138" s="8" t="n"/>
      <c r="W138" s="12">
        <f>IF(OR($G138="",$U138=""),"",$U138-$G138-$M138-$J138)</f>
        <v/>
      </c>
      <c r="X138" s="12">
        <f>IF(OR($I138="",$U138=""),"",$I138-$U138)</f>
        <v/>
      </c>
      <c r="Y138" s="11">
        <f>IF(OR($T138="",$V138=""),"",$V138-$T138)</f>
        <v/>
      </c>
      <c r="Z138" s="11">
        <f>IF(OR($S138="未発送",$S138="発送済",$S138="査定済",$S138="入金済"),1,0)</f>
        <v/>
      </c>
      <c r="AA138" s="11">
        <f>IF($U138="",0,1)</f>
        <v/>
      </c>
    </row>
    <row r="139">
      <c r="A139" s="8" t="n"/>
      <c r="B139" s="9" t="n"/>
      <c r="C139" s="10" t="n"/>
      <c r="D139" s="9" t="n"/>
      <c r="E139" s="9" t="n"/>
      <c r="F139" s="9" t="n"/>
      <c r="G139" s="4" t="n"/>
      <c r="H139" s="5" t="n"/>
      <c r="I139" s="4" t="n"/>
      <c r="J139" s="4" t="n"/>
      <c r="K139" s="4" t="n"/>
      <c r="L139" s="11">
        <f>IF($G139="","",IF($F139="",1,MAX(1,COUNTIF($F$6:$F$505,$F139)-COUNTIFS($F$6:$F$505,$F139,$S$6:$S$505,"見送り"))))</f>
        <v/>
      </c>
      <c r="M139" s="12">
        <f>IF($G139="","",IF($K139="",'設定'!$C$6,$K139)/$L139)</f>
        <v/>
      </c>
      <c r="N139" s="12">
        <f>IF(OR($G139="",$I139=""),"",$I139-$G139-$M139-$J139)</f>
        <v/>
      </c>
      <c r="O139" s="13">
        <f>IF($N139="","",IF($G139&gt;0,$N139/$G139,0))</f>
        <v/>
      </c>
      <c r="P139" s="12">
        <f>IF($G139="","",$G139*$H139)</f>
        <v/>
      </c>
      <c r="Q139" s="12">
        <f>IF($N139="","",$N139-$I139*'設定'!$C$7)</f>
        <v/>
      </c>
      <c r="R139" s="14">
        <f>IF($N139="","",IF(AND($N139&gt;='設定'!$C$4,$O139&gt;='設定'!$C$5),IF($Q139&gt;=0,"仕入れOK","OK・下落に弱い"),"見送り"))</f>
        <v/>
      </c>
      <c r="S139" s="9" t="n"/>
      <c r="T139" s="8" t="n"/>
      <c r="U139" s="4" t="n"/>
      <c r="V139" s="8" t="n"/>
      <c r="W139" s="12">
        <f>IF(OR($G139="",$U139=""),"",$U139-$G139-$M139-$J139)</f>
        <v/>
      </c>
      <c r="X139" s="12">
        <f>IF(OR($I139="",$U139=""),"",$I139-$U139)</f>
        <v/>
      </c>
      <c r="Y139" s="11">
        <f>IF(OR($T139="",$V139=""),"",$V139-$T139)</f>
        <v/>
      </c>
      <c r="Z139" s="11">
        <f>IF(OR($S139="未発送",$S139="発送済",$S139="査定済",$S139="入金済"),1,0)</f>
        <v/>
      </c>
      <c r="AA139" s="11">
        <f>IF($U139="",0,1)</f>
        <v/>
      </c>
    </row>
    <row r="140">
      <c r="A140" s="8" t="n"/>
      <c r="B140" s="9" t="n"/>
      <c r="C140" s="10" t="n"/>
      <c r="D140" s="9" t="n"/>
      <c r="E140" s="9" t="n"/>
      <c r="F140" s="9" t="n"/>
      <c r="G140" s="4" t="n"/>
      <c r="H140" s="5" t="n"/>
      <c r="I140" s="4" t="n"/>
      <c r="J140" s="4" t="n"/>
      <c r="K140" s="4" t="n"/>
      <c r="L140" s="11">
        <f>IF($G140="","",IF($F140="",1,MAX(1,COUNTIF($F$6:$F$505,$F140)-COUNTIFS($F$6:$F$505,$F140,$S$6:$S$505,"見送り"))))</f>
        <v/>
      </c>
      <c r="M140" s="12">
        <f>IF($G140="","",IF($K140="",'設定'!$C$6,$K140)/$L140)</f>
        <v/>
      </c>
      <c r="N140" s="12">
        <f>IF(OR($G140="",$I140=""),"",$I140-$G140-$M140-$J140)</f>
        <v/>
      </c>
      <c r="O140" s="13">
        <f>IF($N140="","",IF($G140&gt;0,$N140/$G140,0))</f>
        <v/>
      </c>
      <c r="P140" s="12">
        <f>IF($G140="","",$G140*$H140)</f>
        <v/>
      </c>
      <c r="Q140" s="12">
        <f>IF($N140="","",$N140-$I140*'設定'!$C$7)</f>
        <v/>
      </c>
      <c r="R140" s="14">
        <f>IF($N140="","",IF(AND($N140&gt;='設定'!$C$4,$O140&gt;='設定'!$C$5),IF($Q140&gt;=0,"仕入れOK","OK・下落に弱い"),"見送り"))</f>
        <v/>
      </c>
      <c r="S140" s="9" t="n"/>
      <c r="T140" s="8" t="n"/>
      <c r="U140" s="4" t="n"/>
      <c r="V140" s="8" t="n"/>
      <c r="W140" s="12">
        <f>IF(OR($G140="",$U140=""),"",$U140-$G140-$M140-$J140)</f>
        <v/>
      </c>
      <c r="X140" s="12">
        <f>IF(OR($I140="",$U140=""),"",$I140-$U140)</f>
        <v/>
      </c>
      <c r="Y140" s="11">
        <f>IF(OR($T140="",$V140=""),"",$V140-$T140)</f>
        <v/>
      </c>
      <c r="Z140" s="11">
        <f>IF(OR($S140="未発送",$S140="発送済",$S140="査定済",$S140="入金済"),1,0)</f>
        <v/>
      </c>
      <c r="AA140" s="11">
        <f>IF($U140="",0,1)</f>
        <v/>
      </c>
    </row>
    <row r="141">
      <c r="A141" s="8" t="n"/>
      <c r="B141" s="9" t="n"/>
      <c r="C141" s="10" t="n"/>
      <c r="D141" s="9" t="n"/>
      <c r="E141" s="9" t="n"/>
      <c r="F141" s="9" t="n"/>
      <c r="G141" s="4" t="n"/>
      <c r="H141" s="5" t="n"/>
      <c r="I141" s="4" t="n"/>
      <c r="J141" s="4" t="n"/>
      <c r="K141" s="4" t="n"/>
      <c r="L141" s="11">
        <f>IF($G141="","",IF($F141="",1,MAX(1,COUNTIF($F$6:$F$505,$F141)-COUNTIFS($F$6:$F$505,$F141,$S$6:$S$505,"見送り"))))</f>
        <v/>
      </c>
      <c r="M141" s="12">
        <f>IF($G141="","",IF($K141="",'設定'!$C$6,$K141)/$L141)</f>
        <v/>
      </c>
      <c r="N141" s="12">
        <f>IF(OR($G141="",$I141=""),"",$I141-$G141-$M141-$J141)</f>
        <v/>
      </c>
      <c r="O141" s="13">
        <f>IF($N141="","",IF($G141&gt;0,$N141/$G141,0))</f>
        <v/>
      </c>
      <c r="P141" s="12">
        <f>IF($G141="","",$G141*$H141)</f>
        <v/>
      </c>
      <c r="Q141" s="12">
        <f>IF($N141="","",$N141-$I141*'設定'!$C$7)</f>
        <v/>
      </c>
      <c r="R141" s="14">
        <f>IF($N141="","",IF(AND($N141&gt;='設定'!$C$4,$O141&gt;='設定'!$C$5),IF($Q141&gt;=0,"仕入れOK","OK・下落に弱い"),"見送り"))</f>
        <v/>
      </c>
      <c r="S141" s="9" t="n"/>
      <c r="T141" s="8" t="n"/>
      <c r="U141" s="4" t="n"/>
      <c r="V141" s="8" t="n"/>
      <c r="W141" s="12">
        <f>IF(OR($G141="",$U141=""),"",$U141-$G141-$M141-$J141)</f>
        <v/>
      </c>
      <c r="X141" s="12">
        <f>IF(OR($I141="",$U141=""),"",$I141-$U141)</f>
        <v/>
      </c>
      <c r="Y141" s="11">
        <f>IF(OR($T141="",$V141=""),"",$V141-$T141)</f>
        <v/>
      </c>
      <c r="Z141" s="11">
        <f>IF(OR($S141="未発送",$S141="発送済",$S141="査定済",$S141="入金済"),1,0)</f>
        <v/>
      </c>
      <c r="AA141" s="11">
        <f>IF($U141="",0,1)</f>
        <v/>
      </c>
    </row>
    <row r="142">
      <c r="A142" s="8" t="n"/>
      <c r="B142" s="9" t="n"/>
      <c r="C142" s="10" t="n"/>
      <c r="D142" s="9" t="n"/>
      <c r="E142" s="9" t="n"/>
      <c r="F142" s="9" t="n"/>
      <c r="G142" s="4" t="n"/>
      <c r="H142" s="5" t="n"/>
      <c r="I142" s="4" t="n"/>
      <c r="J142" s="4" t="n"/>
      <c r="K142" s="4" t="n"/>
      <c r="L142" s="11">
        <f>IF($G142="","",IF($F142="",1,MAX(1,COUNTIF($F$6:$F$505,$F142)-COUNTIFS($F$6:$F$505,$F142,$S$6:$S$505,"見送り"))))</f>
        <v/>
      </c>
      <c r="M142" s="12">
        <f>IF($G142="","",IF($K142="",'設定'!$C$6,$K142)/$L142)</f>
        <v/>
      </c>
      <c r="N142" s="12">
        <f>IF(OR($G142="",$I142=""),"",$I142-$G142-$M142-$J142)</f>
        <v/>
      </c>
      <c r="O142" s="13">
        <f>IF($N142="","",IF($G142&gt;0,$N142/$G142,0))</f>
        <v/>
      </c>
      <c r="P142" s="12">
        <f>IF($G142="","",$G142*$H142)</f>
        <v/>
      </c>
      <c r="Q142" s="12">
        <f>IF($N142="","",$N142-$I142*'設定'!$C$7)</f>
        <v/>
      </c>
      <c r="R142" s="14">
        <f>IF($N142="","",IF(AND($N142&gt;='設定'!$C$4,$O142&gt;='設定'!$C$5),IF($Q142&gt;=0,"仕入れOK","OK・下落に弱い"),"見送り"))</f>
        <v/>
      </c>
      <c r="S142" s="9" t="n"/>
      <c r="T142" s="8" t="n"/>
      <c r="U142" s="4" t="n"/>
      <c r="V142" s="8" t="n"/>
      <c r="W142" s="12">
        <f>IF(OR($G142="",$U142=""),"",$U142-$G142-$M142-$J142)</f>
        <v/>
      </c>
      <c r="X142" s="12">
        <f>IF(OR($I142="",$U142=""),"",$I142-$U142)</f>
        <v/>
      </c>
      <c r="Y142" s="11">
        <f>IF(OR($T142="",$V142=""),"",$V142-$T142)</f>
        <v/>
      </c>
      <c r="Z142" s="11">
        <f>IF(OR($S142="未発送",$S142="発送済",$S142="査定済",$S142="入金済"),1,0)</f>
        <v/>
      </c>
      <c r="AA142" s="11">
        <f>IF($U142="",0,1)</f>
        <v/>
      </c>
    </row>
    <row r="143">
      <c r="A143" s="8" t="n"/>
      <c r="B143" s="9" t="n"/>
      <c r="C143" s="10" t="n"/>
      <c r="D143" s="9" t="n"/>
      <c r="E143" s="9" t="n"/>
      <c r="F143" s="9" t="n"/>
      <c r="G143" s="4" t="n"/>
      <c r="H143" s="5" t="n"/>
      <c r="I143" s="4" t="n"/>
      <c r="J143" s="4" t="n"/>
      <c r="K143" s="4" t="n"/>
      <c r="L143" s="11">
        <f>IF($G143="","",IF($F143="",1,MAX(1,COUNTIF($F$6:$F$505,$F143)-COUNTIFS($F$6:$F$505,$F143,$S$6:$S$505,"見送り"))))</f>
        <v/>
      </c>
      <c r="M143" s="12">
        <f>IF($G143="","",IF($K143="",'設定'!$C$6,$K143)/$L143)</f>
        <v/>
      </c>
      <c r="N143" s="12">
        <f>IF(OR($G143="",$I143=""),"",$I143-$G143-$M143-$J143)</f>
        <v/>
      </c>
      <c r="O143" s="13">
        <f>IF($N143="","",IF($G143&gt;0,$N143/$G143,0))</f>
        <v/>
      </c>
      <c r="P143" s="12">
        <f>IF($G143="","",$G143*$H143)</f>
        <v/>
      </c>
      <c r="Q143" s="12">
        <f>IF($N143="","",$N143-$I143*'設定'!$C$7)</f>
        <v/>
      </c>
      <c r="R143" s="14">
        <f>IF($N143="","",IF(AND($N143&gt;='設定'!$C$4,$O143&gt;='設定'!$C$5),IF($Q143&gt;=0,"仕入れOK","OK・下落に弱い"),"見送り"))</f>
        <v/>
      </c>
      <c r="S143" s="9" t="n"/>
      <c r="T143" s="8" t="n"/>
      <c r="U143" s="4" t="n"/>
      <c r="V143" s="8" t="n"/>
      <c r="W143" s="12">
        <f>IF(OR($G143="",$U143=""),"",$U143-$G143-$M143-$J143)</f>
        <v/>
      </c>
      <c r="X143" s="12">
        <f>IF(OR($I143="",$U143=""),"",$I143-$U143)</f>
        <v/>
      </c>
      <c r="Y143" s="11">
        <f>IF(OR($T143="",$V143=""),"",$V143-$T143)</f>
        <v/>
      </c>
      <c r="Z143" s="11">
        <f>IF(OR($S143="未発送",$S143="発送済",$S143="査定済",$S143="入金済"),1,0)</f>
        <v/>
      </c>
      <c r="AA143" s="11">
        <f>IF($U143="",0,1)</f>
        <v/>
      </c>
    </row>
    <row r="144">
      <c r="A144" s="8" t="n"/>
      <c r="B144" s="9" t="n"/>
      <c r="C144" s="10" t="n"/>
      <c r="D144" s="9" t="n"/>
      <c r="E144" s="9" t="n"/>
      <c r="F144" s="9" t="n"/>
      <c r="G144" s="4" t="n"/>
      <c r="H144" s="5" t="n"/>
      <c r="I144" s="4" t="n"/>
      <c r="J144" s="4" t="n"/>
      <c r="K144" s="4" t="n"/>
      <c r="L144" s="11">
        <f>IF($G144="","",IF($F144="",1,MAX(1,COUNTIF($F$6:$F$505,$F144)-COUNTIFS($F$6:$F$505,$F144,$S$6:$S$505,"見送り"))))</f>
        <v/>
      </c>
      <c r="M144" s="12">
        <f>IF($G144="","",IF($K144="",'設定'!$C$6,$K144)/$L144)</f>
        <v/>
      </c>
      <c r="N144" s="12">
        <f>IF(OR($G144="",$I144=""),"",$I144-$G144-$M144-$J144)</f>
        <v/>
      </c>
      <c r="O144" s="13">
        <f>IF($N144="","",IF($G144&gt;0,$N144/$G144,0))</f>
        <v/>
      </c>
      <c r="P144" s="12">
        <f>IF($G144="","",$G144*$H144)</f>
        <v/>
      </c>
      <c r="Q144" s="12">
        <f>IF($N144="","",$N144-$I144*'設定'!$C$7)</f>
        <v/>
      </c>
      <c r="R144" s="14">
        <f>IF($N144="","",IF(AND($N144&gt;='設定'!$C$4,$O144&gt;='設定'!$C$5),IF($Q144&gt;=0,"仕入れOK","OK・下落に弱い"),"見送り"))</f>
        <v/>
      </c>
      <c r="S144" s="9" t="n"/>
      <c r="T144" s="8" t="n"/>
      <c r="U144" s="4" t="n"/>
      <c r="V144" s="8" t="n"/>
      <c r="W144" s="12">
        <f>IF(OR($G144="",$U144=""),"",$U144-$G144-$M144-$J144)</f>
        <v/>
      </c>
      <c r="X144" s="12">
        <f>IF(OR($I144="",$U144=""),"",$I144-$U144)</f>
        <v/>
      </c>
      <c r="Y144" s="11">
        <f>IF(OR($T144="",$V144=""),"",$V144-$T144)</f>
        <v/>
      </c>
      <c r="Z144" s="11">
        <f>IF(OR($S144="未発送",$S144="発送済",$S144="査定済",$S144="入金済"),1,0)</f>
        <v/>
      </c>
      <c r="AA144" s="11">
        <f>IF($U144="",0,1)</f>
        <v/>
      </c>
    </row>
    <row r="145">
      <c r="A145" s="8" t="n"/>
      <c r="B145" s="9" t="n"/>
      <c r="C145" s="10" t="n"/>
      <c r="D145" s="9" t="n"/>
      <c r="E145" s="9" t="n"/>
      <c r="F145" s="9" t="n"/>
      <c r="G145" s="4" t="n"/>
      <c r="H145" s="5" t="n"/>
      <c r="I145" s="4" t="n"/>
      <c r="J145" s="4" t="n"/>
      <c r="K145" s="4" t="n"/>
      <c r="L145" s="11">
        <f>IF($G145="","",IF($F145="",1,MAX(1,COUNTIF($F$6:$F$505,$F145)-COUNTIFS($F$6:$F$505,$F145,$S$6:$S$505,"見送り"))))</f>
        <v/>
      </c>
      <c r="M145" s="12">
        <f>IF($G145="","",IF($K145="",'設定'!$C$6,$K145)/$L145)</f>
        <v/>
      </c>
      <c r="N145" s="12">
        <f>IF(OR($G145="",$I145=""),"",$I145-$G145-$M145-$J145)</f>
        <v/>
      </c>
      <c r="O145" s="13">
        <f>IF($N145="","",IF($G145&gt;0,$N145/$G145,0))</f>
        <v/>
      </c>
      <c r="P145" s="12">
        <f>IF($G145="","",$G145*$H145)</f>
        <v/>
      </c>
      <c r="Q145" s="12">
        <f>IF($N145="","",$N145-$I145*'設定'!$C$7)</f>
        <v/>
      </c>
      <c r="R145" s="14">
        <f>IF($N145="","",IF(AND($N145&gt;='設定'!$C$4,$O145&gt;='設定'!$C$5),IF($Q145&gt;=0,"仕入れOK","OK・下落に弱い"),"見送り"))</f>
        <v/>
      </c>
      <c r="S145" s="9" t="n"/>
      <c r="T145" s="8" t="n"/>
      <c r="U145" s="4" t="n"/>
      <c r="V145" s="8" t="n"/>
      <c r="W145" s="12">
        <f>IF(OR($G145="",$U145=""),"",$U145-$G145-$M145-$J145)</f>
        <v/>
      </c>
      <c r="X145" s="12">
        <f>IF(OR($I145="",$U145=""),"",$I145-$U145)</f>
        <v/>
      </c>
      <c r="Y145" s="11">
        <f>IF(OR($T145="",$V145=""),"",$V145-$T145)</f>
        <v/>
      </c>
      <c r="Z145" s="11">
        <f>IF(OR($S145="未発送",$S145="発送済",$S145="査定済",$S145="入金済"),1,0)</f>
        <v/>
      </c>
      <c r="AA145" s="11">
        <f>IF($U145="",0,1)</f>
        <v/>
      </c>
    </row>
    <row r="146">
      <c r="A146" s="8" t="n"/>
      <c r="B146" s="9" t="n"/>
      <c r="C146" s="10" t="n"/>
      <c r="D146" s="9" t="n"/>
      <c r="E146" s="9" t="n"/>
      <c r="F146" s="9" t="n"/>
      <c r="G146" s="4" t="n"/>
      <c r="H146" s="5" t="n"/>
      <c r="I146" s="4" t="n"/>
      <c r="J146" s="4" t="n"/>
      <c r="K146" s="4" t="n"/>
      <c r="L146" s="11">
        <f>IF($G146="","",IF($F146="",1,MAX(1,COUNTIF($F$6:$F$505,$F146)-COUNTIFS($F$6:$F$505,$F146,$S$6:$S$505,"見送り"))))</f>
        <v/>
      </c>
      <c r="M146" s="12">
        <f>IF($G146="","",IF($K146="",'設定'!$C$6,$K146)/$L146)</f>
        <v/>
      </c>
      <c r="N146" s="12">
        <f>IF(OR($G146="",$I146=""),"",$I146-$G146-$M146-$J146)</f>
        <v/>
      </c>
      <c r="O146" s="13">
        <f>IF($N146="","",IF($G146&gt;0,$N146/$G146,0))</f>
        <v/>
      </c>
      <c r="P146" s="12">
        <f>IF($G146="","",$G146*$H146)</f>
        <v/>
      </c>
      <c r="Q146" s="12">
        <f>IF($N146="","",$N146-$I146*'設定'!$C$7)</f>
        <v/>
      </c>
      <c r="R146" s="14">
        <f>IF($N146="","",IF(AND($N146&gt;='設定'!$C$4,$O146&gt;='設定'!$C$5),IF($Q146&gt;=0,"仕入れOK","OK・下落に弱い"),"見送り"))</f>
        <v/>
      </c>
      <c r="S146" s="9" t="n"/>
      <c r="T146" s="8" t="n"/>
      <c r="U146" s="4" t="n"/>
      <c r="V146" s="8" t="n"/>
      <c r="W146" s="12">
        <f>IF(OR($G146="",$U146=""),"",$U146-$G146-$M146-$J146)</f>
        <v/>
      </c>
      <c r="X146" s="12">
        <f>IF(OR($I146="",$U146=""),"",$I146-$U146)</f>
        <v/>
      </c>
      <c r="Y146" s="11">
        <f>IF(OR($T146="",$V146=""),"",$V146-$T146)</f>
        <v/>
      </c>
      <c r="Z146" s="11">
        <f>IF(OR($S146="未発送",$S146="発送済",$S146="査定済",$S146="入金済"),1,0)</f>
        <v/>
      </c>
      <c r="AA146" s="11">
        <f>IF($U146="",0,1)</f>
        <v/>
      </c>
    </row>
    <row r="147">
      <c r="A147" s="8" t="n"/>
      <c r="B147" s="9" t="n"/>
      <c r="C147" s="10" t="n"/>
      <c r="D147" s="9" t="n"/>
      <c r="E147" s="9" t="n"/>
      <c r="F147" s="9" t="n"/>
      <c r="G147" s="4" t="n"/>
      <c r="H147" s="5" t="n"/>
      <c r="I147" s="4" t="n"/>
      <c r="J147" s="4" t="n"/>
      <c r="K147" s="4" t="n"/>
      <c r="L147" s="11">
        <f>IF($G147="","",IF($F147="",1,MAX(1,COUNTIF($F$6:$F$505,$F147)-COUNTIFS($F$6:$F$505,$F147,$S$6:$S$505,"見送り"))))</f>
        <v/>
      </c>
      <c r="M147" s="12">
        <f>IF($G147="","",IF($K147="",'設定'!$C$6,$K147)/$L147)</f>
        <v/>
      </c>
      <c r="N147" s="12">
        <f>IF(OR($G147="",$I147=""),"",$I147-$G147-$M147-$J147)</f>
        <v/>
      </c>
      <c r="O147" s="13">
        <f>IF($N147="","",IF($G147&gt;0,$N147/$G147,0))</f>
        <v/>
      </c>
      <c r="P147" s="12">
        <f>IF($G147="","",$G147*$H147)</f>
        <v/>
      </c>
      <c r="Q147" s="12">
        <f>IF($N147="","",$N147-$I147*'設定'!$C$7)</f>
        <v/>
      </c>
      <c r="R147" s="14">
        <f>IF($N147="","",IF(AND($N147&gt;='設定'!$C$4,$O147&gt;='設定'!$C$5),IF($Q147&gt;=0,"仕入れOK","OK・下落に弱い"),"見送り"))</f>
        <v/>
      </c>
      <c r="S147" s="9" t="n"/>
      <c r="T147" s="8" t="n"/>
      <c r="U147" s="4" t="n"/>
      <c r="V147" s="8" t="n"/>
      <c r="W147" s="12">
        <f>IF(OR($G147="",$U147=""),"",$U147-$G147-$M147-$J147)</f>
        <v/>
      </c>
      <c r="X147" s="12">
        <f>IF(OR($I147="",$U147=""),"",$I147-$U147)</f>
        <v/>
      </c>
      <c r="Y147" s="11">
        <f>IF(OR($T147="",$V147=""),"",$V147-$T147)</f>
        <v/>
      </c>
      <c r="Z147" s="11">
        <f>IF(OR($S147="未発送",$S147="発送済",$S147="査定済",$S147="入金済"),1,0)</f>
        <v/>
      </c>
      <c r="AA147" s="11">
        <f>IF($U147="",0,1)</f>
        <v/>
      </c>
    </row>
    <row r="148">
      <c r="A148" s="8" t="n"/>
      <c r="B148" s="9" t="n"/>
      <c r="C148" s="10" t="n"/>
      <c r="D148" s="9" t="n"/>
      <c r="E148" s="9" t="n"/>
      <c r="F148" s="9" t="n"/>
      <c r="G148" s="4" t="n"/>
      <c r="H148" s="5" t="n"/>
      <c r="I148" s="4" t="n"/>
      <c r="J148" s="4" t="n"/>
      <c r="K148" s="4" t="n"/>
      <c r="L148" s="11">
        <f>IF($G148="","",IF($F148="",1,MAX(1,COUNTIF($F$6:$F$505,$F148)-COUNTIFS($F$6:$F$505,$F148,$S$6:$S$505,"見送り"))))</f>
        <v/>
      </c>
      <c r="M148" s="12">
        <f>IF($G148="","",IF($K148="",'設定'!$C$6,$K148)/$L148)</f>
        <v/>
      </c>
      <c r="N148" s="12">
        <f>IF(OR($G148="",$I148=""),"",$I148-$G148-$M148-$J148)</f>
        <v/>
      </c>
      <c r="O148" s="13">
        <f>IF($N148="","",IF($G148&gt;0,$N148/$G148,0))</f>
        <v/>
      </c>
      <c r="P148" s="12">
        <f>IF($G148="","",$G148*$H148)</f>
        <v/>
      </c>
      <c r="Q148" s="12">
        <f>IF($N148="","",$N148-$I148*'設定'!$C$7)</f>
        <v/>
      </c>
      <c r="R148" s="14">
        <f>IF($N148="","",IF(AND($N148&gt;='設定'!$C$4,$O148&gt;='設定'!$C$5),IF($Q148&gt;=0,"仕入れOK","OK・下落に弱い"),"見送り"))</f>
        <v/>
      </c>
      <c r="S148" s="9" t="n"/>
      <c r="T148" s="8" t="n"/>
      <c r="U148" s="4" t="n"/>
      <c r="V148" s="8" t="n"/>
      <c r="W148" s="12">
        <f>IF(OR($G148="",$U148=""),"",$U148-$G148-$M148-$J148)</f>
        <v/>
      </c>
      <c r="X148" s="12">
        <f>IF(OR($I148="",$U148=""),"",$I148-$U148)</f>
        <v/>
      </c>
      <c r="Y148" s="11">
        <f>IF(OR($T148="",$V148=""),"",$V148-$T148)</f>
        <v/>
      </c>
      <c r="Z148" s="11">
        <f>IF(OR($S148="未発送",$S148="発送済",$S148="査定済",$S148="入金済"),1,0)</f>
        <v/>
      </c>
      <c r="AA148" s="11">
        <f>IF($U148="",0,1)</f>
        <v/>
      </c>
    </row>
    <row r="149">
      <c r="A149" s="8" t="n"/>
      <c r="B149" s="9" t="n"/>
      <c r="C149" s="10" t="n"/>
      <c r="D149" s="9" t="n"/>
      <c r="E149" s="9" t="n"/>
      <c r="F149" s="9" t="n"/>
      <c r="G149" s="4" t="n"/>
      <c r="H149" s="5" t="n"/>
      <c r="I149" s="4" t="n"/>
      <c r="J149" s="4" t="n"/>
      <c r="K149" s="4" t="n"/>
      <c r="L149" s="11">
        <f>IF($G149="","",IF($F149="",1,MAX(1,COUNTIF($F$6:$F$505,$F149)-COUNTIFS($F$6:$F$505,$F149,$S$6:$S$505,"見送り"))))</f>
        <v/>
      </c>
      <c r="M149" s="12">
        <f>IF($G149="","",IF($K149="",'設定'!$C$6,$K149)/$L149)</f>
        <v/>
      </c>
      <c r="N149" s="12">
        <f>IF(OR($G149="",$I149=""),"",$I149-$G149-$M149-$J149)</f>
        <v/>
      </c>
      <c r="O149" s="13">
        <f>IF($N149="","",IF($G149&gt;0,$N149/$G149,0))</f>
        <v/>
      </c>
      <c r="P149" s="12">
        <f>IF($G149="","",$G149*$H149)</f>
        <v/>
      </c>
      <c r="Q149" s="12">
        <f>IF($N149="","",$N149-$I149*'設定'!$C$7)</f>
        <v/>
      </c>
      <c r="R149" s="14">
        <f>IF($N149="","",IF(AND($N149&gt;='設定'!$C$4,$O149&gt;='設定'!$C$5),IF($Q149&gt;=0,"仕入れOK","OK・下落に弱い"),"見送り"))</f>
        <v/>
      </c>
      <c r="S149" s="9" t="n"/>
      <c r="T149" s="8" t="n"/>
      <c r="U149" s="4" t="n"/>
      <c r="V149" s="8" t="n"/>
      <c r="W149" s="12">
        <f>IF(OR($G149="",$U149=""),"",$U149-$G149-$M149-$J149)</f>
        <v/>
      </c>
      <c r="X149" s="12">
        <f>IF(OR($I149="",$U149=""),"",$I149-$U149)</f>
        <v/>
      </c>
      <c r="Y149" s="11">
        <f>IF(OR($T149="",$V149=""),"",$V149-$T149)</f>
        <v/>
      </c>
      <c r="Z149" s="11">
        <f>IF(OR($S149="未発送",$S149="発送済",$S149="査定済",$S149="入金済"),1,0)</f>
        <v/>
      </c>
      <c r="AA149" s="11">
        <f>IF($U149="",0,1)</f>
        <v/>
      </c>
    </row>
    <row r="150">
      <c r="A150" s="8" t="n"/>
      <c r="B150" s="9" t="n"/>
      <c r="C150" s="10" t="n"/>
      <c r="D150" s="9" t="n"/>
      <c r="E150" s="9" t="n"/>
      <c r="F150" s="9" t="n"/>
      <c r="G150" s="4" t="n"/>
      <c r="H150" s="5" t="n"/>
      <c r="I150" s="4" t="n"/>
      <c r="J150" s="4" t="n"/>
      <c r="K150" s="4" t="n"/>
      <c r="L150" s="11">
        <f>IF($G150="","",IF($F150="",1,MAX(1,COUNTIF($F$6:$F$505,$F150)-COUNTIFS($F$6:$F$505,$F150,$S$6:$S$505,"見送り"))))</f>
        <v/>
      </c>
      <c r="M150" s="12">
        <f>IF($G150="","",IF($K150="",'設定'!$C$6,$K150)/$L150)</f>
        <v/>
      </c>
      <c r="N150" s="12">
        <f>IF(OR($G150="",$I150=""),"",$I150-$G150-$M150-$J150)</f>
        <v/>
      </c>
      <c r="O150" s="13">
        <f>IF($N150="","",IF($G150&gt;0,$N150/$G150,0))</f>
        <v/>
      </c>
      <c r="P150" s="12">
        <f>IF($G150="","",$G150*$H150)</f>
        <v/>
      </c>
      <c r="Q150" s="12">
        <f>IF($N150="","",$N150-$I150*'設定'!$C$7)</f>
        <v/>
      </c>
      <c r="R150" s="14">
        <f>IF($N150="","",IF(AND($N150&gt;='設定'!$C$4,$O150&gt;='設定'!$C$5),IF($Q150&gt;=0,"仕入れOK","OK・下落に弱い"),"見送り"))</f>
        <v/>
      </c>
      <c r="S150" s="9" t="n"/>
      <c r="T150" s="8" t="n"/>
      <c r="U150" s="4" t="n"/>
      <c r="V150" s="8" t="n"/>
      <c r="W150" s="12">
        <f>IF(OR($G150="",$U150=""),"",$U150-$G150-$M150-$J150)</f>
        <v/>
      </c>
      <c r="X150" s="12">
        <f>IF(OR($I150="",$U150=""),"",$I150-$U150)</f>
        <v/>
      </c>
      <c r="Y150" s="11">
        <f>IF(OR($T150="",$V150=""),"",$V150-$T150)</f>
        <v/>
      </c>
      <c r="Z150" s="11">
        <f>IF(OR($S150="未発送",$S150="発送済",$S150="査定済",$S150="入金済"),1,0)</f>
        <v/>
      </c>
      <c r="AA150" s="11">
        <f>IF($U150="",0,1)</f>
        <v/>
      </c>
    </row>
    <row r="151">
      <c r="A151" s="8" t="n"/>
      <c r="B151" s="9" t="n"/>
      <c r="C151" s="10" t="n"/>
      <c r="D151" s="9" t="n"/>
      <c r="E151" s="9" t="n"/>
      <c r="F151" s="9" t="n"/>
      <c r="G151" s="4" t="n"/>
      <c r="H151" s="5" t="n"/>
      <c r="I151" s="4" t="n"/>
      <c r="J151" s="4" t="n"/>
      <c r="K151" s="4" t="n"/>
      <c r="L151" s="11">
        <f>IF($G151="","",IF($F151="",1,MAX(1,COUNTIF($F$6:$F$505,$F151)-COUNTIFS($F$6:$F$505,$F151,$S$6:$S$505,"見送り"))))</f>
        <v/>
      </c>
      <c r="M151" s="12">
        <f>IF($G151="","",IF($K151="",'設定'!$C$6,$K151)/$L151)</f>
        <v/>
      </c>
      <c r="N151" s="12">
        <f>IF(OR($G151="",$I151=""),"",$I151-$G151-$M151-$J151)</f>
        <v/>
      </c>
      <c r="O151" s="13">
        <f>IF($N151="","",IF($G151&gt;0,$N151/$G151,0))</f>
        <v/>
      </c>
      <c r="P151" s="12">
        <f>IF($G151="","",$G151*$H151)</f>
        <v/>
      </c>
      <c r="Q151" s="12">
        <f>IF($N151="","",$N151-$I151*'設定'!$C$7)</f>
        <v/>
      </c>
      <c r="R151" s="14">
        <f>IF($N151="","",IF(AND($N151&gt;='設定'!$C$4,$O151&gt;='設定'!$C$5),IF($Q151&gt;=0,"仕入れOK","OK・下落に弱い"),"見送り"))</f>
        <v/>
      </c>
      <c r="S151" s="9" t="n"/>
      <c r="T151" s="8" t="n"/>
      <c r="U151" s="4" t="n"/>
      <c r="V151" s="8" t="n"/>
      <c r="W151" s="12">
        <f>IF(OR($G151="",$U151=""),"",$U151-$G151-$M151-$J151)</f>
        <v/>
      </c>
      <c r="X151" s="12">
        <f>IF(OR($I151="",$U151=""),"",$I151-$U151)</f>
        <v/>
      </c>
      <c r="Y151" s="11">
        <f>IF(OR($T151="",$V151=""),"",$V151-$T151)</f>
        <v/>
      </c>
      <c r="Z151" s="11">
        <f>IF(OR($S151="未発送",$S151="発送済",$S151="査定済",$S151="入金済"),1,0)</f>
        <v/>
      </c>
      <c r="AA151" s="11">
        <f>IF($U151="",0,1)</f>
        <v/>
      </c>
    </row>
    <row r="152">
      <c r="A152" s="8" t="n"/>
      <c r="B152" s="9" t="n"/>
      <c r="C152" s="10" t="n"/>
      <c r="D152" s="9" t="n"/>
      <c r="E152" s="9" t="n"/>
      <c r="F152" s="9" t="n"/>
      <c r="G152" s="4" t="n"/>
      <c r="H152" s="5" t="n"/>
      <c r="I152" s="4" t="n"/>
      <c r="J152" s="4" t="n"/>
      <c r="K152" s="4" t="n"/>
      <c r="L152" s="11">
        <f>IF($G152="","",IF($F152="",1,MAX(1,COUNTIF($F$6:$F$505,$F152)-COUNTIFS($F$6:$F$505,$F152,$S$6:$S$505,"見送り"))))</f>
        <v/>
      </c>
      <c r="M152" s="12">
        <f>IF($G152="","",IF($K152="",'設定'!$C$6,$K152)/$L152)</f>
        <v/>
      </c>
      <c r="N152" s="12">
        <f>IF(OR($G152="",$I152=""),"",$I152-$G152-$M152-$J152)</f>
        <v/>
      </c>
      <c r="O152" s="13">
        <f>IF($N152="","",IF($G152&gt;0,$N152/$G152,0))</f>
        <v/>
      </c>
      <c r="P152" s="12">
        <f>IF($G152="","",$G152*$H152)</f>
        <v/>
      </c>
      <c r="Q152" s="12">
        <f>IF($N152="","",$N152-$I152*'設定'!$C$7)</f>
        <v/>
      </c>
      <c r="R152" s="14">
        <f>IF($N152="","",IF(AND($N152&gt;='設定'!$C$4,$O152&gt;='設定'!$C$5),IF($Q152&gt;=0,"仕入れOK","OK・下落に弱い"),"見送り"))</f>
        <v/>
      </c>
      <c r="S152" s="9" t="n"/>
      <c r="T152" s="8" t="n"/>
      <c r="U152" s="4" t="n"/>
      <c r="V152" s="8" t="n"/>
      <c r="W152" s="12">
        <f>IF(OR($G152="",$U152=""),"",$U152-$G152-$M152-$J152)</f>
        <v/>
      </c>
      <c r="X152" s="12">
        <f>IF(OR($I152="",$U152=""),"",$I152-$U152)</f>
        <v/>
      </c>
      <c r="Y152" s="11">
        <f>IF(OR($T152="",$V152=""),"",$V152-$T152)</f>
        <v/>
      </c>
      <c r="Z152" s="11">
        <f>IF(OR($S152="未発送",$S152="発送済",$S152="査定済",$S152="入金済"),1,0)</f>
        <v/>
      </c>
      <c r="AA152" s="11">
        <f>IF($U152="",0,1)</f>
        <v/>
      </c>
    </row>
    <row r="153">
      <c r="A153" s="8" t="n"/>
      <c r="B153" s="9" t="n"/>
      <c r="C153" s="10" t="n"/>
      <c r="D153" s="9" t="n"/>
      <c r="E153" s="9" t="n"/>
      <c r="F153" s="9" t="n"/>
      <c r="G153" s="4" t="n"/>
      <c r="H153" s="5" t="n"/>
      <c r="I153" s="4" t="n"/>
      <c r="J153" s="4" t="n"/>
      <c r="K153" s="4" t="n"/>
      <c r="L153" s="11">
        <f>IF($G153="","",IF($F153="",1,MAX(1,COUNTIF($F$6:$F$505,$F153)-COUNTIFS($F$6:$F$505,$F153,$S$6:$S$505,"見送り"))))</f>
        <v/>
      </c>
      <c r="M153" s="12">
        <f>IF($G153="","",IF($K153="",'設定'!$C$6,$K153)/$L153)</f>
        <v/>
      </c>
      <c r="N153" s="12">
        <f>IF(OR($G153="",$I153=""),"",$I153-$G153-$M153-$J153)</f>
        <v/>
      </c>
      <c r="O153" s="13">
        <f>IF($N153="","",IF($G153&gt;0,$N153/$G153,0))</f>
        <v/>
      </c>
      <c r="P153" s="12">
        <f>IF($G153="","",$G153*$H153)</f>
        <v/>
      </c>
      <c r="Q153" s="12">
        <f>IF($N153="","",$N153-$I153*'設定'!$C$7)</f>
        <v/>
      </c>
      <c r="R153" s="14">
        <f>IF($N153="","",IF(AND($N153&gt;='設定'!$C$4,$O153&gt;='設定'!$C$5),IF($Q153&gt;=0,"仕入れOK","OK・下落に弱い"),"見送り"))</f>
        <v/>
      </c>
      <c r="S153" s="9" t="n"/>
      <c r="T153" s="8" t="n"/>
      <c r="U153" s="4" t="n"/>
      <c r="V153" s="8" t="n"/>
      <c r="W153" s="12">
        <f>IF(OR($G153="",$U153=""),"",$U153-$G153-$M153-$J153)</f>
        <v/>
      </c>
      <c r="X153" s="12">
        <f>IF(OR($I153="",$U153=""),"",$I153-$U153)</f>
        <v/>
      </c>
      <c r="Y153" s="11">
        <f>IF(OR($T153="",$V153=""),"",$V153-$T153)</f>
        <v/>
      </c>
      <c r="Z153" s="11">
        <f>IF(OR($S153="未発送",$S153="発送済",$S153="査定済",$S153="入金済"),1,0)</f>
        <v/>
      </c>
      <c r="AA153" s="11">
        <f>IF($U153="",0,1)</f>
        <v/>
      </c>
    </row>
    <row r="154">
      <c r="A154" s="8" t="n"/>
      <c r="B154" s="9" t="n"/>
      <c r="C154" s="10" t="n"/>
      <c r="D154" s="9" t="n"/>
      <c r="E154" s="9" t="n"/>
      <c r="F154" s="9" t="n"/>
      <c r="G154" s="4" t="n"/>
      <c r="H154" s="5" t="n"/>
      <c r="I154" s="4" t="n"/>
      <c r="J154" s="4" t="n"/>
      <c r="K154" s="4" t="n"/>
      <c r="L154" s="11">
        <f>IF($G154="","",IF($F154="",1,MAX(1,COUNTIF($F$6:$F$505,$F154)-COUNTIFS($F$6:$F$505,$F154,$S$6:$S$505,"見送り"))))</f>
        <v/>
      </c>
      <c r="M154" s="12">
        <f>IF($G154="","",IF($K154="",'設定'!$C$6,$K154)/$L154)</f>
        <v/>
      </c>
      <c r="N154" s="12">
        <f>IF(OR($G154="",$I154=""),"",$I154-$G154-$M154-$J154)</f>
        <v/>
      </c>
      <c r="O154" s="13">
        <f>IF($N154="","",IF($G154&gt;0,$N154/$G154,0))</f>
        <v/>
      </c>
      <c r="P154" s="12">
        <f>IF($G154="","",$G154*$H154)</f>
        <v/>
      </c>
      <c r="Q154" s="12">
        <f>IF($N154="","",$N154-$I154*'設定'!$C$7)</f>
        <v/>
      </c>
      <c r="R154" s="14">
        <f>IF($N154="","",IF(AND($N154&gt;='設定'!$C$4,$O154&gt;='設定'!$C$5),IF($Q154&gt;=0,"仕入れOK","OK・下落に弱い"),"見送り"))</f>
        <v/>
      </c>
      <c r="S154" s="9" t="n"/>
      <c r="T154" s="8" t="n"/>
      <c r="U154" s="4" t="n"/>
      <c r="V154" s="8" t="n"/>
      <c r="W154" s="12">
        <f>IF(OR($G154="",$U154=""),"",$U154-$G154-$M154-$J154)</f>
        <v/>
      </c>
      <c r="X154" s="12">
        <f>IF(OR($I154="",$U154=""),"",$I154-$U154)</f>
        <v/>
      </c>
      <c r="Y154" s="11">
        <f>IF(OR($T154="",$V154=""),"",$V154-$T154)</f>
        <v/>
      </c>
      <c r="Z154" s="11">
        <f>IF(OR($S154="未発送",$S154="発送済",$S154="査定済",$S154="入金済"),1,0)</f>
        <v/>
      </c>
      <c r="AA154" s="11">
        <f>IF($U154="",0,1)</f>
        <v/>
      </c>
    </row>
    <row r="155">
      <c r="A155" s="8" t="n"/>
      <c r="B155" s="9" t="n"/>
      <c r="C155" s="10" t="n"/>
      <c r="D155" s="9" t="n"/>
      <c r="E155" s="9" t="n"/>
      <c r="F155" s="9" t="n"/>
      <c r="G155" s="4" t="n"/>
      <c r="H155" s="5" t="n"/>
      <c r="I155" s="4" t="n"/>
      <c r="J155" s="4" t="n"/>
      <c r="K155" s="4" t="n"/>
      <c r="L155" s="11">
        <f>IF($G155="","",IF($F155="",1,MAX(1,COUNTIF($F$6:$F$505,$F155)-COUNTIFS($F$6:$F$505,$F155,$S$6:$S$505,"見送り"))))</f>
        <v/>
      </c>
      <c r="M155" s="12">
        <f>IF($G155="","",IF($K155="",'設定'!$C$6,$K155)/$L155)</f>
        <v/>
      </c>
      <c r="N155" s="12">
        <f>IF(OR($G155="",$I155=""),"",$I155-$G155-$M155-$J155)</f>
        <v/>
      </c>
      <c r="O155" s="13">
        <f>IF($N155="","",IF($G155&gt;0,$N155/$G155,0))</f>
        <v/>
      </c>
      <c r="P155" s="12">
        <f>IF($G155="","",$G155*$H155)</f>
        <v/>
      </c>
      <c r="Q155" s="12">
        <f>IF($N155="","",$N155-$I155*'設定'!$C$7)</f>
        <v/>
      </c>
      <c r="R155" s="14">
        <f>IF($N155="","",IF(AND($N155&gt;='設定'!$C$4,$O155&gt;='設定'!$C$5),IF($Q155&gt;=0,"仕入れOK","OK・下落に弱い"),"見送り"))</f>
        <v/>
      </c>
      <c r="S155" s="9" t="n"/>
      <c r="T155" s="8" t="n"/>
      <c r="U155" s="4" t="n"/>
      <c r="V155" s="8" t="n"/>
      <c r="W155" s="12">
        <f>IF(OR($G155="",$U155=""),"",$U155-$G155-$M155-$J155)</f>
        <v/>
      </c>
      <c r="X155" s="12">
        <f>IF(OR($I155="",$U155=""),"",$I155-$U155)</f>
        <v/>
      </c>
      <c r="Y155" s="11">
        <f>IF(OR($T155="",$V155=""),"",$V155-$T155)</f>
        <v/>
      </c>
      <c r="Z155" s="11">
        <f>IF(OR($S155="未発送",$S155="発送済",$S155="査定済",$S155="入金済"),1,0)</f>
        <v/>
      </c>
      <c r="AA155" s="11">
        <f>IF($U155="",0,1)</f>
        <v/>
      </c>
    </row>
    <row r="156">
      <c r="A156" s="8" t="n"/>
      <c r="B156" s="9" t="n"/>
      <c r="C156" s="10" t="n"/>
      <c r="D156" s="9" t="n"/>
      <c r="E156" s="9" t="n"/>
      <c r="F156" s="9" t="n"/>
      <c r="G156" s="4" t="n"/>
      <c r="H156" s="5" t="n"/>
      <c r="I156" s="4" t="n"/>
      <c r="J156" s="4" t="n"/>
      <c r="K156" s="4" t="n"/>
      <c r="L156" s="11">
        <f>IF($G156="","",IF($F156="",1,MAX(1,COUNTIF($F$6:$F$505,$F156)-COUNTIFS($F$6:$F$505,$F156,$S$6:$S$505,"見送り"))))</f>
        <v/>
      </c>
      <c r="M156" s="12">
        <f>IF($G156="","",IF($K156="",'設定'!$C$6,$K156)/$L156)</f>
        <v/>
      </c>
      <c r="N156" s="12">
        <f>IF(OR($G156="",$I156=""),"",$I156-$G156-$M156-$J156)</f>
        <v/>
      </c>
      <c r="O156" s="13">
        <f>IF($N156="","",IF($G156&gt;0,$N156/$G156,0))</f>
        <v/>
      </c>
      <c r="P156" s="12">
        <f>IF($G156="","",$G156*$H156)</f>
        <v/>
      </c>
      <c r="Q156" s="12">
        <f>IF($N156="","",$N156-$I156*'設定'!$C$7)</f>
        <v/>
      </c>
      <c r="R156" s="14">
        <f>IF($N156="","",IF(AND($N156&gt;='設定'!$C$4,$O156&gt;='設定'!$C$5),IF($Q156&gt;=0,"仕入れOK","OK・下落に弱い"),"見送り"))</f>
        <v/>
      </c>
      <c r="S156" s="9" t="n"/>
      <c r="T156" s="8" t="n"/>
      <c r="U156" s="4" t="n"/>
      <c r="V156" s="8" t="n"/>
      <c r="W156" s="12">
        <f>IF(OR($G156="",$U156=""),"",$U156-$G156-$M156-$J156)</f>
        <v/>
      </c>
      <c r="X156" s="12">
        <f>IF(OR($I156="",$U156=""),"",$I156-$U156)</f>
        <v/>
      </c>
      <c r="Y156" s="11">
        <f>IF(OR($T156="",$V156=""),"",$V156-$T156)</f>
        <v/>
      </c>
      <c r="Z156" s="11">
        <f>IF(OR($S156="未発送",$S156="発送済",$S156="査定済",$S156="入金済"),1,0)</f>
        <v/>
      </c>
      <c r="AA156" s="11">
        <f>IF($U156="",0,1)</f>
        <v/>
      </c>
    </row>
    <row r="157">
      <c r="A157" s="8" t="n"/>
      <c r="B157" s="9" t="n"/>
      <c r="C157" s="10" t="n"/>
      <c r="D157" s="9" t="n"/>
      <c r="E157" s="9" t="n"/>
      <c r="F157" s="9" t="n"/>
      <c r="G157" s="4" t="n"/>
      <c r="H157" s="5" t="n"/>
      <c r="I157" s="4" t="n"/>
      <c r="J157" s="4" t="n"/>
      <c r="K157" s="4" t="n"/>
      <c r="L157" s="11">
        <f>IF($G157="","",IF($F157="",1,MAX(1,COUNTIF($F$6:$F$505,$F157)-COUNTIFS($F$6:$F$505,$F157,$S$6:$S$505,"見送り"))))</f>
        <v/>
      </c>
      <c r="M157" s="12">
        <f>IF($G157="","",IF($K157="",'設定'!$C$6,$K157)/$L157)</f>
        <v/>
      </c>
      <c r="N157" s="12">
        <f>IF(OR($G157="",$I157=""),"",$I157-$G157-$M157-$J157)</f>
        <v/>
      </c>
      <c r="O157" s="13">
        <f>IF($N157="","",IF($G157&gt;0,$N157/$G157,0))</f>
        <v/>
      </c>
      <c r="P157" s="12">
        <f>IF($G157="","",$G157*$H157)</f>
        <v/>
      </c>
      <c r="Q157" s="12">
        <f>IF($N157="","",$N157-$I157*'設定'!$C$7)</f>
        <v/>
      </c>
      <c r="R157" s="14">
        <f>IF($N157="","",IF(AND($N157&gt;='設定'!$C$4,$O157&gt;='設定'!$C$5),IF($Q157&gt;=0,"仕入れOK","OK・下落に弱い"),"見送り"))</f>
        <v/>
      </c>
      <c r="S157" s="9" t="n"/>
      <c r="T157" s="8" t="n"/>
      <c r="U157" s="4" t="n"/>
      <c r="V157" s="8" t="n"/>
      <c r="W157" s="12">
        <f>IF(OR($G157="",$U157=""),"",$U157-$G157-$M157-$J157)</f>
        <v/>
      </c>
      <c r="X157" s="12">
        <f>IF(OR($I157="",$U157=""),"",$I157-$U157)</f>
        <v/>
      </c>
      <c r="Y157" s="11">
        <f>IF(OR($T157="",$V157=""),"",$V157-$T157)</f>
        <v/>
      </c>
      <c r="Z157" s="11">
        <f>IF(OR($S157="未発送",$S157="発送済",$S157="査定済",$S157="入金済"),1,0)</f>
        <v/>
      </c>
      <c r="AA157" s="11">
        <f>IF($U157="",0,1)</f>
        <v/>
      </c>
    </row>
    <row r="158">
      <c r="A158" s="8" t="n"/>
      <c r="B158" s="9" t="n"/>
      <c r="C158" s="10" t="n"/>
      <c r="D158" s="9" t="n"/>
      <c r="E158" s="9" t="n"/>
      <c r="F158" s="9" t="n"/>
      <c r="G158" s="4" t="n"/>
      <c r="H158" s="5" t="n"/>
      <c r="I158" s="4" t="n"/>
      <c r="J158" s="4" t="n"/>
      <c r="K158" s="4" t="n"/>
      <c r="L158" s="11">
        <f>IF($G158="","",IF($F158="",1,MAX(1,COUNTIF($F$6:$F$505,$F158)-COUNTIFS($F$6:$F$505,$F158,$S$6:$S$505,"見送り"))))</f>
        <v/>
      </c>
      <c r="M158" s="12">
        <f>IF($G158="","",IF($K158="",'設定'!$C$6,$K158)/$L158)</f>
        <v/>
      </c>
      <c r="N158" s="12">
        <f>IF(OR($G158="",$I158=""),"",$I158-$G158-$M158-$J158)</f>
        <v/>
      </c>
      <c r="O158" s="13">
        <f>IF($N158="","",IF($G158&gt;0,$N158/$G158,0))</f>
        <v/>
      </c>
      <c r="P158" s="12">
        <f>IF($G158="","",$G158*$H158)</f>
        <v/>
      </c>
      <c r="Q158" s="12">
        <f>IF($N158="","",$N158-$I158*'設定'!$C$7)</f>
        <v/>
      </c>
      <c r="R158" s="14">
        <f>IF($N158="","",IF(AND($N158&gt;='設定'!$C$4,$O158&gt;='設定'!$C$5),IF($Q158&gt;=0,"仕入れOK","OK・下落に弱い"),"見送り"))</f>
        <v/>
      </c>
      <c r="S158" s="9" t="n"/>
      <c r="T158" s="8" t="n"/>
      <c r="U158" s="4" t="n"/>
      <c r="V158" s="8" t="n"/>
      <c r="W158" s="12">
        <f>IF(OR($G158="",$U158=""),"",$U158-$G158-$M158-$J158)</f>
        <v/>
      </c>
      <c r="X158" s="12">
        <f>IF(OR($I158="",$U158=""),"",$I158-$U158)</f>
        <v/>
      </c>
      <c r="Y158" s="11">
        <f>IF(OR($T158="",$V158=""),"",$V158-$T158)</f>
        <v/>
      </c>
      <c r="Z158" s="11">
        <f>IF(OR($S158="未発送",$S158="発送済",$S158="査定済",$S158="入金済"),1,0)</f>
        <v/>
      </c>
      <c r="AA158" s="11">
        <f>IF($U158="",0,1)</f>
        <v/>
      </c>
    </row>
    <row r="159">
      <c r="A159" s="8" t="n"/>
      <c r="B159" s="9" t="n"/>
      <c r="C159" s="10" t="n"/>
      <c r="D159" s="9" t="n"/>
      <c r="E159" s="9" t="n"/>
      <c r="F159" s="9" t="n"/>
      <c r="G159" s="4" t="n"/>
      <c r="H159" s="5" t="n"/>
      <c r="I159" s="4" t="n"/>
      <c r="J159" s="4" t="n"/>
      <c r="K159" s="4" t="n"/>
      <c r="L159" s="11">
        <f>IF($G159="","",IF($F159="",1,MAX(1,COUNTIF($F$6:$F$505,$F159)-COUNTIFS($F$6:$F$505,$F159,$S$6:$S$505,"見送り"))))</f>
        <v/>
      </c>
      <c r="M159" s="12">
        <f>IF($G159="","",IF($K159="",'設定'!$C$6,$K159)/$L159)</f>
        <v/>
      </c>
      <c r="N159" s="12">
        <f>IF(OR($G159="",$I159=""),"",$I159-$G159-$M159-$J159)</f>
        <v/>
      </c>
      <c r="O159" s="13">
        <f>IF($N159="","",IF($G159&gt;0,$N159/$G159,0))</f>
        <v/>
      </c>
      <c r="P159" s="12">
        <f>IF($G159="","",$G159*$H159)</f>
        <v/>
      </c>
      <c r="Q159" s="12">
        <f>IF($N159="","",$N159-$I159*'設定'!$C$7)</f>
        <v/>
      </c>
      <c r="R159" s="14">
        <f>IF($N159="","",IF(AND($N159&gt;='設定'!$C$4,$O159&gt;='設定'!$C$5),IF($Q159&gt;=0,"仕入れOK","OK・下落に弱い"),"見送り"))</f>
        <v/>
      </c>
      <c r="S159" s="9" t="n"/>
      <c r="T159" s="8" t="n"/>
      <c r="U159" s="4" t="n"/>
      <c r="V159" s="8" t="n"/>
      <c r="W159" s="12">
        <f>IF(OR($G159="",$U159=""),"",$U159-$G159-$M159-$J159)</f>
        <v/>
      </c>
      <c r="X159" s="12">
        <f>IF(OR($I159="",$U159=""),"",$I159-$U159)</f>
        <v/>
      </c>
      <c r="Y159" s="11">
        <f>IF(OR($T159="",$V159=""),"",$V159-$T159)</f>
        <v/>
      </c>
      <c r="Z159" s="11">
        <f>IF(OR($S159="未発送",$S159="発送済",$S159="査定済",$S159="入金済"),1,0)</f>
        <v/>
      </c>
      <c r="AA159" s="11">
        <f>IF($U159="",0,1)</f>
        <v/>
      </c>
    </row>
    <row r="160">
      <c r="A160" s="8" t="n"/>
      <c r="B160" s="9" t="n"/>
      <c r="C160" s="10" t="n"/>
      <c r="D160" s="9" t="n"/>
      <c r="E160" s="9" t="n"/>
      <c r="F160" s="9" t="n"/>
      <c r="G160" s="4" t="n"/>
      <c r="H160" s="5" t="n"/>
      <c r="I160" s="4" t="n"/>
      <c r="J160" s="4" t="n"/>
      <c r="K160" s="4" t="n"/>
      <c r="L160" s="11">
        <f>IF($G160="","",IF($F160="",1,MAX(1,COUNTIF($F$6:$F$505,$F160)-COUNTIFS($F$6:$F$505,$F160,$S$6:$S$505,"見送り"))))</f>
        <v/>
      </c>
      <c r="M160" s="12">
        <f>IF($G160="","",IF($K160="",'設定'!$C$6,$K160)/$L160)</f>
        <v/>
      </c>
      <c r="N160" s="12">
        <f>IF(OR($G160="",$I160=""),"",$I160-$G160-$M160-$J160)</f>
        <v/>
      </c>
      <c r="O160" s="13">
        <f>IF($N160="","",IF($G160&gt;0,$N160/$G160,0))</f>
        <v/>
      </c>
      <c r="P160" s="12">
        <f>IF($G160="","",$G160*$H160)</f>
        <v/>
      </c>
      <c r="Q160" s="12">
        <f>IF($N160="","",$N160-$I160*'設定'!$C$7)</f>
        <v/>
      </c>
      <c r="R160" s="14">
        <f>IF($N160="","",IF(AND($N160&gt;='設定'!$C$4,$O160&gt;='設定'!$C$5),IF($Q160&gt;=0,"仕入れOK","OK・下落に弱い"),"見送り"))</f>
        <v/>
      </c>
      <c r="S160" s="9" t="n"/>
      <c r="T160" s="8" t="n"/>
      <c r="U160" s="4" t="n"/>
      <c r="V160" s="8" t="n"/>
      <c r="W160" s="12">
        <f>IF(OR($G160="",$U160=""),"",$U160-$G160-$M160-$J160)</f>
        <v/>
      </c>
      <c r="X160" s="12">
        <f>IF(OR($I160="",$U160=""),"",$I160-$U160)</f>
        <v/>
      </c>
      <c r="Y160" s="11">
        <f>IF(OR($T160="",$V160=""),"",$V160-$T160)</f>
        <v/>
      </c>
      <c r="Z160" s="11">
        <f>IF(OR($S160="未発送",$S160="発送済",$S160="査定済",$S160="入金済"),1,0)</f>
        <v/>
      </c>
      <c r="AA160" s="11">
        <f>IF($U160="",0,1)</f>
        <v/>
      </c>
    </row>
    <row r="161">
      <c r="A161" s="8" t="n"/>
      <c r="B161" s="9" t="n"/>
      <c r="C161" s="10" t="n"/>
      <c r="D161" s="9" t="n"/>
      <c r="E161" s="9" t="n"/>
      <c r="F161" s="9" t="n"/>
      <c r="G161" s="4" t="n"/>
      <c r="H161" s="5" t="n"/>
      <c r="I161" s="4" t="n"/>
      <c r="J161" s="4" t="n"/>
      <c r="K161" s="4" t="n"/>
      <c r="L161" s="11">
        <f>IF($G161="","",IF($F161="",1,MAX(1,COUNTIF($F$6:$F$505,$F161)-COUNTIFS($F$6:$F$505,$F161,$S$6:$S$505,"見送り"))))</f>
        <v/>
      </c>
      <c r="M161" s="12">
        <f>IF($G161="","",IF($K161="",'設定'!$C$6,$K161)/$L161)</f>
        <v/>
      </c>
      <c r="N161" s="12">
        <f>IF(OR($G161="",$I161=""),"",$I161-$G161-$M161-$J161)</f>
        <v/>
      </c>
      <c r="O161" s="13">
        <f>IF($N161="","",IF($G161&gt;0,$N161/$G161,0))</f>
        <v/>
      </c>
      <c r="P161" s="12">
        <f>IF($G161="","",$G161*$H161)</f>
        <v/>
      </c>
      <c r="Q161" s="12">
        <f>IF($N161="","",$N161-$I161*'設定'!$C$7)</f>
        <v/>
      </c>
      <c r="R161" s="14">
        <f>IF($N161="","",IF(AND($N161&gt;='設定'!$C$4,$O161&gt;='設定'!$C$5),IF($Q161&gt;=0,"仕入れOK","OK・下落に弱い"),"見送り"))</f>
        <v/>
      </c>
      <c r="S161" s="9" t="n"/>
      <c r="T161" s="8" t="n"/>
      <c r="U161" s="4" t="n"/>
      <c r="V161" s="8" t="n"/>
      <c r="W161" s="12">
        <f>IF(OR($G161="",$U161=""),"",$U161-$G161-$M161-$J161)</f>
        <v/>
      </c>
      <c r="X161" s="12">
        <f>IF(OR($I161="",$U161=""),"",$I161-$U161)</f>
        <v/>
      </c>
      <c r="Y161" s="11">
        <f>IF(OR($T161="",$V161=""),"",$V161-$T161)</f>
        <v/>
      </c>
      <c r="Z161" s="11">
        <f>IF(OR($S161="未発送",$S161="発送済",$S161="査定済",$S161="入金済"),1,0)</f>
        <v/>
      </c>
      <c r="AA161" s="11">
        <f>IF($U161="",0,1)</f>
        <v/>
      </c>
    </row>
    <row r="162">
      <c r="A162" s="8" t="n"/>
      <c r="B162" s="9" t="n"/>
      <c r="C162" s="10" t="n"/>
      <c r="D162" s="9" t="n"/>
      <c r="E162" s="9" t="n"/>
      <c r="F162" s="9" t="n"/>
      <c r="G162" s="4" t="n"/>
      <c r="H162" s="5" t="n"/>
      <c r="I162" s="4" t="n"/>
      <c r="J162" s="4" t="n"/>
      <c r="K162" s="4" t="n"/>
      <c r="L162" s="11">
        <f>IF($G162="","",IF($F162="",1,MAX(1,COUNTIF($F$6:$F$505,$F162)-COUNTIFS($F$6:$F$505,$F162,$S$6:$S$505,"見送り"))))</f>
        <v/>
      </c>
      <c r="M162" s="12">
        <f>IF($G162="","",IF($K162="",'設定'!$C$6,$K162)/$L162)</f>
        <v/>
      </c>
      <c r="N162" s="12">
        <f>IF(OR($G162="",$I162=""),"",$I162-$G162-$M162-$J162)</f>
        <v/>
      </c>
      <c r="O162" s="13">
        <f>IF($N162="","",IF($G162&gt;0,$N162/$G162,0))</f>
        <v/>
      </c>
      <c r="P162" s="12">
        <f>IF($G162="","",$G162*$H162)</f>
        <v/>
      </c>
      <c r="Q162" s="12">
        <f>IF($N162="","",$N162-$I162*'設定'!$C$7)</f>
        <v/>
      </c>
      <c r="R162" s="14">
        <f>IF($N162="","",IF(AND($N162&gt;='設定'!$C$4,$O162&gt;='設定'!$C$5),IF($Q162&gt;=0,"仕入れOK","OK・下落に弱い"),"見送り"))</f>
        <v/>
      </c>
      <c r="S162" s="9" t="n"/>
      <c r="T162" s="8" t="n"/>
      <c r="U162" s="4" t="n"/>
      <c r="V162" s="8" t="n"/>
      <c r="W162" s="12">
        <f>IF(OR($G162="",$U162=""),"",$U162-$G162-$M162-$J162)</f>
        <v/>
      </c>
      <c r="X162" s="12">
        <f>IF(OR($I162="",$U162=""),"",$I162-$U162)</f>
        <v/>
      </c>
      <c r="Y162" s="11">
        <f>IF(OR($T162="",$V162=""),"",$V162-$T162)</f>
        <v/>
      </c>
      <c r="Z162" s="11">
        <f>IF(OR($S162="未発送",$S162="発送済",$S162="査定済",$S162="入金済"),1,0)</f>
        <v/>
      </c>
      <c r="AA162" s="11">
        <f>IF($U162="",0,1)</f>
        <v/>
      </c>
    </row>
    <row r="163">
      <c r="A163" s="8" t="n"/>
      <c r="B163" s="9" t="n"/>
      <c r="C163" s="10" t="n"/>
      <c r="D163" s="9" t="n"/>
      <c r="E163" s="9" t="n"/>
      <c r="F163" s="9" t="n"/>
      <c r="G163" s="4" t="n"/>
      <c r="H163" s="5" t="n"/>
      <c r="I163" s="4" t="n"/>
      <c r="J163" s="4" t="n"/>
      <c r="K163" s="4" t="n"/>
      <c r="L163" s="11">
        <f>IF($G163="","",IF($F163="",1,MAX(1,COUNTIF($F$6:$F$505,$F163)-COUNTIFS($F$6:$F$505,$F163,$S$6:$S$505,"見送り"))))</f>
        <v/>
      </c>
      <c r="M163" s="12">
        <f>IF($G163="","",IF($K163="",'設定'!$C$6,$K163)/$L163)</f>
        <v/>
      </c>
      <c r="N163" s="12">
        <f>IF(OR($G163="",$I163=""),"",$I163-$G163-$M163-$J163)</f>
        <v/>
      </c>
      <c r="O163" s="13">
        <f>IF($N163="","",IF($G163&gt;0,$N163/$G163,0))</f>
        <v/>
      </c>
      <c r="P163" s="12">
        <f>IF($G163="","",$G163*$H163)</f>
        <v/>
      </c>
      <c r="Q163" s="12">
        <f>IF($N163="","",$N163-$I163*'設定'!$C$7)</f>
        <v/>
      </c>
      <c r="R163" s="14">
        <f>IF($N163="","",IF(AND($N163&gt;='設定'!$C$4,$O163&gt;='設定'!$C$5),IF($Q163&gt;=0,"仕入れOK","OK・下落に弱い"),"見送り"))</f>
        <v/>
      </c>
      <c r="S163" s="9" t="n"/>
      <c r="T163" s="8" t="n"/>
      <c r="U163" s="4" t="n"/>
      <c r="V163" s="8" t="n"/>
      <c r="W163" s="12">
        <f>IF(OR($G163="",$U163=""),"",$U163-$G163-$M163-$J163)</f>
        <v/>
      </c>
      <c r="X163" s="12">
        <f>IF(OR($I163="",$U163=""),"",$I163-$U163)</f>
        <v/>
      </c>
      <c r="Y163" s="11">
        <f>IF(OR($T163="",$V163=""),"",$V163-$T163)</f>
        <v/>
      </c>
      <c r="Z163" s="11">
        <f>IF(OR($S163="未発送",$S163="発送済",$S163="査定済",$S163="入金済"),1,0)</f>
        <v/>
      </c>
      <c r="AA163" s="11">
        <f>IF($U163="",0,1)</f>
        <v/>
      </c>
    </row>
    <row r="164">
      <c r="A164" s="8" t="n"/>
      <c r="B164" s="9" t="n"/>
      <c r="C164" s="10" t="n"/>
      <c r="D164" s="9" t="n"/>
      <c r="E164" s="9" t="n"/>
      <c r="F164" s="9" t="n"/>
      <c r="G164" s="4" t="n"/>
      <c r="H164" s="5" t="n"/>
      <c r="I164" s="4" t="n"/>
      <c r="J164" s="4" t="n"/>
      <c r="K164" s="4" t="n"/>
      <c r="L164" s="11">
        <f>IF($G164="","",IF($F164="",1,MAX(1,COUNTIF($F$6:$F$505,$F164)-COUNTIFS($F$6:$F$505,$F164,$S$6:$S$505,"見送り"))))</f>
        <v/>
      </c>
      <c r="M164" s="12">
        <f>IF($G164="","",IF($K164="",'設定'!$C$6,$K164)/$L164)</f>
        <v/>
      </c>
      <c r="N164" s="12">
        <f>IF(OR($G164="",$I164=""),"",$I164-$G164-$M164-$J164)</f>
        <v/>
      </c>
      <c r="O164" s="13">
        <f>IF($N164="","",IF($G164&gt;0,$N164/$G164,0))</f>
        <v/>
      </c>
      <c r="P164" s="12">
        <f>IF($G164="","",$G164*$H164)</f>
        <v/>
      </c>
      <c r="Q164" s="12">
        <f>IF($N164="","",$N164-$I164*'設定'!$C$7)</f>
        <v/>
      </c>
      <c r="R164" s="14">
        <f>IF($N164="","",IF(AND($N164&gt;='設定'!$C$4,$O164&gt;='設定'!$C$5),IF($Q164&gt;=0,"仕入れOK","OK・下落に弱い"),"見送り"))</f>
        <v/>
      </c>
      <c r="S164" s="9" t="n"/>
      <c r="T164" s="8" t="n"/>
      <c r="U164" s="4" t="n"/>
      <c r="V164" s="8" t="n"/>
      <c r="W164" s="12">
        <f>IF(OR($G164="",$U164=""),"",$U164-$G164-$M164-$J164)</f>
        <v/>
      </c>
      <c r="X164" s="12">
        <f>IF(OR($I164="",$U164=""),"",$I164-$U164)</f>
        <v/>
      </c>
      <c r="Y164" s="11">
        <f>IF(OR($T164="",$V164=""),"",$V164-$T164)</f>
        <v/>
      </c>
      <c r="Z164" s="11">
        <f>IF(OR($S164="未発送",$S164="発送済",$S164="査定済",$S164="入金済"),1,0)</f>
        <v/>
      </c>
      <c r="AA164" s="11">
        <f>IF($U164="",0,1)</f>
        <v/>
      </c>
    </row>
    <row r="165">
      <c r="A165" s="8" t="n"/>
      <c r="B165" s="9" t="n"/>
      <c r="C165" s="10" t="n"/>
      <c r="D165" s="9" t="n"/>
      <c r="E165" s="9" t="n"/>
      <c r="F165" s="9" t="n"/>
      <c r="G165" s="4" t="n"/>
      <c r="H165" s="5" t="n"/>
      <c r="I165" s="4" t="n"/>
      <c r="J165" s="4" t="n"/>
      <c r="K165" s="4" t="n"/>
      <c r="L165" s="11">
        <f>IF($G165="","",IF($F165="",1,MAX(1,COUNTIF($F$6:$F$505,$F165)-COUNTIFS($F$6:$F$505,$F165,$S$6:$S$505,"見送り"))))</f>
        <v/>
      </c>
      <c r="M165" s="12">
        <f>IF($G165="","",IF($K165="",'設定'!$C$6,$K165)/$L165)</f>
        <v/>
      </c>
      <c r="N165" s="12">
        <f>IF(OR($G165="",$I165=""),"",$I165-$G165-$M165-$J165)</f>
        <v/>
      </c>
      <c r="O165" s="13">
        <f>IF($N165="","",IF($G165&gt;0,$N165/$G165,0))</f>
        <v/>
      </c>
      <c r="P165" s="12">
        <f>IF($G165="","",$G165*$H165)</f>
        <v/>
      </c>
      <c r="Q165" s="12">
        <f>IF($N165="","",$N165-$I165*'設定'!$C$7)</f>
        <v/>
      </c>
      <c r="R165" s="14">
        <f>IF($N165="","",IF(AND($N165&gt;='設定'!$C$4,$O165&gt;='設定'!$C$5),IF($Q165&gt;=0,"仕入れOK","OK・下落に弱い"),"見送り"))</f>
        <v/>
      </c>
      <c r="S165" s="9" t="n"/>
      <c r="T165" s="8" t="n"/>
      <c r="U165" s="4" t="n"/>
      <c r="V165" s="8" t="n"/>
      <c r="W165" s="12">
        <f>IF(OR($G165="",$U165=""),"",$U165-$G165-$M165-$J165)</f>
        <v/>
      </c>
      <c r="X165" s="12">
        <f>IF(OR($I165="",$U165=""),"",$I165-$U165)</f>
        <v/>
      </c>
      <c r="Y165" s="11">
        <f>IF(OR($T165="",$V165=""),"",$V165-$T165)</f>
        <v/>
      </c>
      <c r="Z165" s="11">
        <f>IF(OR($S165="未発送",$S165="発送済",$S165="査定済",$S165="入金済"),1,0)</f>
        <v/>
      </c>
      <c r="AA165" s="11">
        <f>IF($U165="",0,1)</f>
        <v/>
      </c>
    </row>
    <row r="166">
      <c r="A166" s="8" t="n"/>
      <c r="B166" s="9" t="n"/>
      <c r="C166" s="10" t="n"/>
      <c r="D166" s="9" t="n"/>
      <c r="E166" s="9" t="n"/>
      <c r="F166" s="9" t="n"/>
      <c r="G166" s="4" t="n"/>
      <c r="H166" s="5" t="n"/>
      <c r="I166" s="4" t="n"/>
      <c r="J166" s="4" t="n"/>
      <c r="K166" s="4" t="n"/>
      <c r="L166" s="11">
        <f>IF($G166="","",IF($F166="",1,MAX(1,COUNTIF($F$6:$F$505,$F166)-COUNTIFS($F$6:$F$505,$F166,$S$6:$S$505,"見送り"))))</f>
        <v/>
      </c>
      <c r="M166" s="12">
        <f>IF($G166="","",IF($K166="",'設定'!$C$6,$K166)/$L166)</f>
        <v/>
      </c>
      <c r="N166" s="12">
        <f>IF(OR($G166="",$I166=""),"",$I166-$G166-$M166-$J166)</f>
        <v/>
      </c>
      <c r="O166" s="13">
        <f>IF($N166="","",IF($G166&gt;0,$N166/$G166,0))</f>
        <v/>
      </c>
      <c r="P166" s="12">
        <f>IF($G166="","",$G166*$H166)</f>
        <v/>
      </c>
      <c r="Q166" s="12">
        <f>IF($N166="","",$N166-$I166*'設定'!$C$7)</f>
        <v/>
      </c>
      <c r="R166" s="14">
        <f>IF($N166="","",IF(AND($N166&gt;='設定'!$C$4,$O166&gt;='設定'!$C$5),IF($Q166&gt;=0,"仕入れOK","OK・下落に弱い"),"見送り"))</f>
        <v/>
      </c>
      <c r="S166" s="9" t="n"/>
      <c r="T166" s="8" t="n"/>
      <c r="U166" s="4" t="n"/>
      <c r="V166" s="8" t="n"/>
      <c r="W166" s="12">
        <f>IF(OR($G166="",$U166=""),"",$U166-$G166-$M166-$J166)</f>
        <v/>
      </c>
      <c r="X166" s="12">
        <f>IF(OR($I166="",$U166=""),"",$I166-$U166)</f>
        <v/>
      </c>
      <c r="Y166" s="11">
        <f>IF(OR($T166="",$V166=""),"",$V166-$T166)</f>
        <v/>
      </c>
      <c r="Z166" s="11">
        <f>IF(OR($S166="未発送",$S166="発送済",$S166="査定済",$S166="入金済"),1,0)</f>
        <v/>
      </c>
      <c r="AA166" s="11">
        <f>IF($U166="",0,1)</f>
        <v/>
      </c>
    </row>
    <row r="167">
      <c r="A167" s="8" t="n"/>
      <c r="B167" s="9" t="n"/>
      <c r="C167" s="10" t="n"/>
      <c r="D167" s="9" t="n"/>
      <c r="E167" s="9" t="n"/>
      <c r="F167" s="9" t="n"/>
      <c r="G167" s="4" t="n"/>
      <c r="H167" s="5" t="n"/>
      <c r="I167" s="4" t="n"/>
      <c r="J167" s="4" t="n"/>
      <c r="K167" s="4" t="n"/>
      <c r="L167" s="11">
        <f>IF($G167="","",IF($F167="",1,MAX(1,COUNTIF($F$6:$F$505,$F167)-COUNTIFS($F$6:$F$505,$F167,$S$6:$S$505,"見送り"))))</f>
        <v/>
      </c>
      <c r="M167" s="12">
        <f>IF($G167="","",IF($K167="",'設定'!$C$6,$K167)/$L167)</f>
        <v/>
      </c>
      <c r="N167" s="12">
        <f>IF(OR($G167="",$I167=""),"",$I167-$G167-$M167-$J167)</f>
        <v/>
      </c>
      <c r="O167" s="13">
        <f>IF($N167="","",IF($G167&gt;0,$N167/$G167,0))</f>
        <v/>
      </c>
      <c r="P167" s="12">
        <f>IF($G167="","",$G167*$H167)</f>
        <v/>
      </c>
      <c r="Q167" s="12">
        <f>IF($N167="","",$N167-$I167*'設定'!$C$7)</f>
        <v/>
      </c>
      <c r="R167" s="14">
        <f>IF($N167="","",IF(AND($N167&gt;='設定'!$C$4,$O167&gt;='設定'!$C$5),IF($Q167&gt;=0,"仕入れOK","OK・下落に弱い"),"見送り"))</f>
        <v/>
      </c>
      <c r="S167" s="9" t="n"/>
      <c r="T167" s="8" t="n"/>
      <c r="U167" s="4" t="n"/>
      <c r="V167" s="8" t="n"/>
      <c r="W167" s="12">
        <f>IF(OR($G167="",$U167=""),"",$U167-$G167-$M167-$J167)</f>
        <v/>
      </c>
      <c r="X167" s="12">
        <f>IF(OR($I167="",$U167=""),"",$I167-$U167)</f>
        <v/>
      </c>
      <c r="Y167" s="11">
        <f>IF(OR($T167="",$V167=""),"",$V167-$T167)</f>
        <v/>
      </c>
      <c r="Z167" s="11">
        <f>IF(OR($S167="未発送",$S167="発送済",$S167="査定済",$S167="入金済"),1,0)</f>
        <v/>
      </c>
      <c r="AA167" s="11">
        <f>IF($U167="",0,1)</f>
        <v/>
      </c>
    </row>
    <row r="168">
      <c r="A168" s="8" t="n"/>
      <c r="B168" s="9" t="n"/>
      <c r="C168" s="10" t="n"/>
      <c r="D168" s="9" t="n"/>
      <c r="E168" s="9" t="n"/>
      <c r="F168" s="9" t="n"/>
      <c r="G168" s="4" t="n"/>
      <c r="H168" s="5" t="n"/>
      <c r="I168" s="4" t="n"/>
      <c r="J168" s="4" t="n"/>
      <c r="K168" s="4" t="n"/>
      <c r="L168" s="11">
        <f>IF($G168="","",IF($F168="",1,MAX(1,COUNTIF($F$6:$F$505,$F168)-COUNTIFS($F$6:$F$505,$F168,$S$6:$S$505,"見送り"))))</f>
        <v/>
      </c>
      <c r="M168" s="12">
        <f>IF($G168="","",IF($K168="",'設定'!$C$6,$K168)/$L168)</f>
        <v/>
      </c>
      <c r="N168" s="12">
        <f>IF(OR($G168="",$I168=""),"",$I168-$G168-$M168-$J168)</f>
        <v/>
      </c>
      <c r="O168" s="13">
        <f>IF($N168="","",IF($G168&gt;0,$N168/$G168,0))</f>
        <v/>
      </c>
      <c r="P168" s="12">
        <f>IF($G168="","",$G168*$H168)</f>
        <v/>
      </c>
      <c r="Q168" s="12">
        <f>IF($N168="","",$N168-$I168*'設定'!$C$7)</f>
        <v/>
      </c>
      <c r="R168" s="14">
        <f>IF($N168="","",IF(AND($N168&gt;='設定'!$C$4,$O168&gt;='設定'!$C$5),IF($Q168&gt;=0,"仕入れOK","OK・下落に弱い"),"見送り"))</f>
        <v/>
      </c>
      <c r="S168" s="9" t="n"/>
      <c r="T168" s="8" t="n"/>
      <c r="U168" s="4" t="n"/>
      <c r="V168" s="8" t="n"/>
      <c r="W168" s="12">
        <f>IF(OR($G168="",$U168=""),"",$U168-$G168-$M168-$J168)</f>
        <v/>
      </c>
      <c r="X168" s="12">
        <f>IF(OR($I168="",$U168=""),"",$I168-$U168)</f>
        <v/>
      </c>
      <c r="Y168" s="11">
        <f>IF(OR($T168="",$V168=""),"",$V168-$T168)</f>
        <v/>
      </c>
      <c r="Z168" s="11">
        <f>IF(OR($S168="未発送",$S168="発送済",$S168="査定済",$S168="入金済"),1,0)</f>
        <v/>
      </c>
      <c r="AA168" s="11">
        <f>IF($U168="",0,1)</f>
        <v/>
      </c>
    </row>
    <row r="169">
      <c r="A169" s="8" t="n"/>
      <c r="B169" s="9" t="n"/>
      <c r="C169" s="10" t="n"/>
      <c r="D169" s="9" t="n"/>
      <c r="E169" s="9" t="n"/>
      <c r="F169" s="9" t="n"/>
      <c r="G169" s="4" t="n"/>
      <c r="H169" s="5" t="n"/>
      <c r="I169" s="4" t="n"/>
      <c r="J169" s="4" t="n"/>
      <c r="K169" s="4" t="n"/>
      <c r="L169" s="11">
        <f>IF($G169="","",IF($F169="",1,MAX(1,COUNTIF($F$6:$F$505,$F169)-COUNTIFS($F$6:$F$505,$F169,$S$6:$S$505,"見送り"))))</f>
        <v/>
      </c>
      <c r="M169" s="12">
        <f>IF($G169="","",IF($K169="",'設定'!$C$6,$K169)/$L169)</f>
        <v/>
      </c>
      <c r="N169" s="12">
        <f>IF(OR($G169="",$I169=""),"",$I169-$G169-$M169-$J169)</f>
        <v/>
      </c>
      <c r="O169" s="13">
        <f>IF($N169="","",IF($G169&gt;0,$N169/$G169,0))</f>
        <v/>
      </c>
      <c r="P169" s="12">
        <f>IF($G169="","",$G169*$H169)</f>
        <v/>
      </c>
      <c r="Q169" s="12">
        <f>IF($N169="","",$N169-$I169*'設定'!$C$7)</f>
        <v/>
      </c>
      <c r="R169" s="14">
        <f>IF($N169="","",IF(AND($N169&gt;='設定'!$C$4,$O169&gt;='設定'!$C$5),IF($Q169&gt;=0,"仕入れOK","OK・下落に弱い"),"見送り"))</f>
        <v/>
      </c>
      <c r="S169" s="9" t="n"/>
      <c r="T169" s="8" t="n"/>
      <c r="U169" s="4" t="n"/>
      <c r="V169" s="8" t="n"/>
      <c r="W169" s="12">
        <f>IF(OR($G169="",$U169=""),"",$U169-$G169-$M169-$J169)</f>
        <v/>
      </c>
      <c r="X169" s="12">
        <f>IF(OR($I169="",$U169=""),"",$I169-$U169)</f>
        <v/>
      </c>
      <c r="Y169" s="11">
        <f>IF(OR($T169="",$V169=""),"",$V169-$T169)</f>
        <v/>
      </c>
      <c r="Z169" s="11">
        <f>IF(OR($S169="未発送",$S169="発送済",$S169="査定済",$S169="入金済"),1,0)</f>
        <v/>
      </c>
      <c r="AA169" s="11">
        <f>IF($U169="",0,1)</f>
        <v/>
      </c>
    </row>
    <row r="170">
      <c r="A170" s="8" t="n"/>
      <c r="B170" s="9" t="n"/>
      <c r="C170" s="10" t="n"/>
      <c r="D170" s="9" t="n"/>
      <c r="E170" s="9" t="n"/>
      <c r="F170" s="9" t="n"/>
      <c r="G170" s="4" t="n"/>
      <c r="H170" s="5" t="n"/>
      <c r="I170" s="4" t="n"/>
      <c r="J170" s="4" t="n"/>
      <c r="K170" s="4" t="n"/>
      <c r="L170" s="11">
        <f>IF($G170="","",IF($F170="",1,MAX(1,COUNTIF($F$6:$F$505,$F170)-COUNTIFS($F$6:$F$505,$F170,$S$6:$S$505,"見送り"))))</f>
        <v/>
      </c>
      <c r="M170" s="12">
        <f>IF($G170="","",IF($K170="",'設定'!$C$6,$K170)/$L170)</f>
        <v/>
      </c>
      <c r="N170" s="12">
        <f>IF(OR($G170="",$I170=""),"",$I170-$G170-$M170-$J170)</f>
        <v/>
      </c>
      <c r="O170" s="13">
        <f>IF($N170="","",IF($G170&gt;0,$N170/$G170,0))</f>
        <v/>
      </c>
      <c r="P170" s="12">
        <f>IF($G170="","",$G170*$H170)</f>
        <v/>
      </c>
      <c r="Q170" s="12">
        <f>IF($N170="","",$N170-$I170*'設定'!$C$7)</f>
        <v/>
      </c>
      <c r="R170" s="14">
        <f>IF($N170="","",IF(AND($N170&gt;='設定'!$C$4,$O170&gt;='設定'!$C$5),IF($Q170&gt;=0,"仕入れOK","OK・下落に弱い"),"見送り"))</f>
        <v/>
      </c>
      <c r="S170" s="9" t="n"/>
      <c r="T170" s="8" t="n"/>
      <c r="U170" s="4" t="n"/>
      <c r="V170" s="8" t="n"/>
      <c r="W170" s="12">
        <f>IF(OR($G170="",$U170=""),"",$U170-$G170-$M170-$J170)</f>
        <v/>
      </c>
      <c r="X170" s="12">
        <f>IF(OR($I170="",$U170=""),"",$I170-$U170)</f>
        <v/>
      </c>
      <c r="Y170" s="11">
        <f>IF(OR($T170="",$V170=""),"",$V170-$T170)</f>
        <v/>
      </c>
      <c r="Z170" s="11">
        <f>IF(OR($S170="未発送",$S170="発送済",$S170="査定済",$S170="入金済"),1,0)</f>
        <v/>
      </c>
      <c r="AA170" s="11">
        <f>IF($U170="",0,1)</f>
        <v/>
      </c>
    </row>
    <row r="171">
      <c r="A171" s="8" t="n"/>
      <c r="B171" s="9" t="n"/>
      <c r="C171" s="10" t="n"/>
      <c r="D171" s="9" t="n"/>
      <c r="E171" s="9" t="n"/>
      <c r="F171" s="9" t="n"/>
      <c r="G171" s="4" t="n"/>
      <c r="H171" s="5" t="n"/>
      <c r="I171" s="4" t="n"/>
      <c r="J171" s="4" t="n"/>
      <c r="K171" s="4" t="n"/>
      <c r="L171" s="11">
        <f>IF($G171="","",IF($F171="",1,MAX(1,COUNTIF($F$6:$F$505,$F171)-COUNTIFS($F$6:$F$505,$F171,$S$6:$S$505,"見送り"))))</f>
        <v/>
      </c>
      <c r="M171" s="12">
        <f>IF($G171="","",IF($K171="",'設定'!$C$6,$K171)/$L171)</f>
        <v/>
      </c>
      <c r="N171" s="12">
        <f>IF(OR($G171="",$I171=""),"",$I171-$G171-$M171-$J171)</f>
        <v/>
      </c>
      <c r="O171" s="13">
        <f>IF($N171="","",IF($G171&gt;0,$N171/$G171,0))</f>
        <v/>
      </c>
      <c r="P171" s="12">
        <f>IF($G171="","",$G171*$H171)</f>
        <v/>
      </c>
      <c r="Q171" s="12">
        <f>IF($N171="","",$N171-$I171*'設定'!$C$7)</f>
        <v/>
      </c>
      <c r="R171" s="14">
        <f>IF($N171="","",IF(AND($N171&gt;='設定'!$C$4,$O171&gt;='設定'!$C$5),IF($Q171&gt;=0,"仕入れOK","OK・下落に弱い"),"見送り"))</f>
        <v/>
      </c>
      <c r="S171" s="9" t="n"/>
      <c r="T171" s="8" t="n"/>
      <c r="U171" s="4" t="n"/>
      <c r="V171" s="8" t="n"/>
      <c r="W171" s="12">
        <f>IF(OR($G171="",$U171=""),"",$U171-$G171-$M171-$J171)</f>
        <v/>
      </c>
      <c r="X171" s="12">
        <f>IF(OR($I171="",$U171=""),"",$I171-$U171)</f>
        <v/>
      </c>
      <c r="Y171" s="11">
        <f>IF(OR($T171="",$V171=""),"",$V171-$T171)</f>
        <v/>
      </c>
      <c r="Z171" s="11">
        <f>IF(OR($S171="未発送",$S171="発送済",$S171="査定済",$S171="入金済"),1,0)</f>
        <v/>
      </c>
      <c r="AA171" s="11">
        <f>IF($U171="",0,1)</f>
        <v/>
      </c>
    </row>
    <row r="172">
      <c r="A172" s="8" t="n"/>
      <c r="B172" s="9" t="n"/>
      <c r="C172" s="10" t="n"/>
      <c r="D172" s="9" t="n"/>
      <c r="E172" s="9" t="n"/>
      <c r="F172" s="9" t="n"/>
      <c r="G172" s="4" t="n"/>
      <c r="H172" s="5" t="n"/>
      <c r="I172" s="4" t="n"/>
      <c r="J172" s="4" t="n"/>
      <c r="K172" s="4" t="n"/>
      <c r="L172" s="11">
        <f>IF($G172="","",IF($F172="",1,MAX(1,COUNTIF($F$6:$F$505,$F172)-COUNTIFS($F$6:$F$505,$F172,$S$6:$S$505,"見送り"))))</f>
        <v/>
      </c>
      <c r="M172" s="12">
        <f>IF($G172="","",IF($K172="",'設定'!$C$6,$K172)/$L172)</f>
        <v/>
      </c>
      <c r="N172" s="12">
        <f>IF(OR($G172="",$I172=""),"",$I172-$G172-$M172-$J172)</f>
        <v/>
      </c>
      <c r="O172" s="13">
        <f>IF($N172="","",IF($G172&gt;0,$N172/$G172,0))</f>
        <v/>
      </c>
      <c r="P172" s="12">
        <f>IF($G172="","",$G172*$H172)</f>
        <v/>
      </c>
      <c r="Q172" s="12">
        <f>IF($N172="","",$N172-$I172*'設定'!$C$7)</f>
        <v/>
      </c>
      <c r="R172" s="14">
        <f>IF($N172="","",IF(AND($N172&gt;='設定'!$C$4,$O172&gt;='設定'!$C$5),IF($Q172&gt;=0,"仕入れOK","OK・下落に弱い"),"見送り"))</f>
        <v/>
      </c>
      <c r="S172" s="9" t="n"/>
      <c r="T172" s="8" t="n"/>
      <c r="U172" s="4" t="n"/>
      <c r="V172" s="8" t="n"/>
      <c r="W172" s="12">
        <f>IF(OR($G172="",$U172=""),"",$U172-$G172-$M172-$J172)</f>
        <v/>
      </c>
      <c r="X172" s="12">
        <f>IF(OR($I172="",$U172=""),"",$I172-$U172)</f>
        <v/>
      </c>
      <c r="Y172" s="11">
        <f>IF(OR($T172="",$V172=""),"",$V172-$T172)</f>
        <v/>
      </c>
      <c r="Z172" s="11">
        <f>IF(OR($S172="未発送",$S172="発送済",$S172="査定済",$S172="入金済"),1,0)</f>
        <v/>
      </c>
      <c r="AA172" s="11">
        <f>IF($U172="",0,1)</f>
        <v/>
      </c>
    </row>
    <row r="173">
      <c r="A173" s="8" t="n"/>
      <c r="B173" s="9" t="n"/>
      <c r="C173" s="10" t="n"/>
      <c r="D173" s="9" t="n"/>
      <c r="E173" s="9" t="n"/>
      <c r="F173" s="9" t="n"/>
      <c r="G173" s="4" t="n"/>
      <c r="H173" s="5" t="n"/>
      <c r="I173" s="4" t="n"/>
      <c r="J173" s="4" t="n"/>
      <c r="K173" s="4" t="n"/>
      <c r="L173" s="11">
        <f>IF($G173="","",IF($F173="",1,MAX(1,COUNTIF($F$6:$F$505,$F173)-COUNTIFS($F$6:$F$505,$F173,$S$6:$S$505,"見送り"))))</f>
        <v/>
      </c>
      <c r="M173" s="12">
        <f>IF($G173="","",IF($K173="",'設定'!$C$6,$K173)/$L173)</f>
        <v/>
      </c>
      <c r="N173" s="12">
        <f>IF(OR($G173="",$I173=""),"",$I173-$G173-$M173-$J173)</f>
        <v/>
      </c>
      <c r="O173" s="13">
        <f>IF($N173="","",IF($G173&gt;0,$N173/$G173,0))</f>
        <v/>
      </c>
      <c r="P173" s="12">
        <f>IF($G173="","",$G173*$H173)</f>
        <v/>
      </c>
      <c r="Q173" s="12">
        <f>IF($N173="","",$N173-$I173*'設定'!$C$7)</f>
        <v/>
      </c>
      <c r="R173" s="14">
        <f>IF($N173="","",IF(AND($N173&gt;='設定'!$C$4,$O173&gt;='設定'!$C$5),IF($Q173&gt;=0,"仕入れOK","OK・下落に弱い"),"見送り"))</f>
        <v/>
      </c>
      <c r="S173" s="9" t="n"/>
      <c r="T173" s="8" t="n"/>
      <c r="U173" s="4" t="n"/>
      <c r="V173" s="8" t="n"/>
      <c r="W173" s="12">
        <f>IF(OR($G173="",$U173=""),"",$U173-$G173-$M173-$J173)</f>
        <v/>
      </c>
      <c r="X173" s="12">
        <f>IF(OR($I173="",$U173=""),"",$I173-$U173)</f>
        <v/>
      </c>
      <c r="Y173" s="11">
        <f>IF(OR($T173="",$V173=""),"",$V173-$T173)</f>
        <v/>
      </c>
      <c r="Z173" s="11">
        <f>IF(OR($S173="未発送",$S173="発送済",$S173="査定済",$S173="入金済"),1,0)</f>
        <v/>
      </c>
      <c r="AA173" s="11">
        <f>IF($U173="",0,1)</f>
        <v/>
      </c>
    </row>
    <row r="174">
      <c r="A174" s="8" t="n"/>
      <c r="B174" s="9" t="n"/>
      <c r="C174" s="10" t="n"/>
      <c r="D174" s="9" t="n"/>
      <c r="E174" s="9" t="n"/>
      <c r="F174" s="9" t="n"/>
      <c r="G174" s="4" t="n"/>
      <c r="H174" s="5" t="n"/>
      <c r="I174" s="4" t="n"/>
      <c r="J174" s="4" t="n"/>
      <c r="K174" s="4" t="n"/>
      <c r="L174" s="11">
        <f>IF($G174="","",IF($F174="",1,MAX(1,COUNTIF($F$6:$F$505,$F174)-COUNTIFS($F$6:$F$505,$F174,$S$6:$S$505,"見送り"))))</f>
        <v/>
      </c>
      <c r="M174" s="12">
        <f>IF($G174="","",IF($K174="",'設定'!$C$6,$K174)/$L174)</f>
        <v/>
      </c>
      <c r="N174" s="12">
        <f>IF(OR($G174="",$I174=""),"",$I174-$G174-$M174-$J174)</f>
        <v/>
      </c>
      <c r="O174" s="13">
        <f>IF($N174="","",IF($G174&gt;0,$N174/$G174,0))</f>
        <v/>
      </c>
      <c r="P174" s="12">
        <f>IF($G174="","",$G174*$H174)</f>
        <v/>
      </c>
      <c r="Q174" s="12">
        <f>IF($N174="","",$N174-$I174*'設定'!$C$7)</f>
        <v/>
      </c>
      <c r="R174" s="14">
        <f>IF($N174="","",IF(AND($N174&gt;='設定'!$C$4,$O174&gt;='設定'!$C$5),IF($Q174&gt;=0,"仕入れOK","OK・下落に弱い"),"見送り"))</f>
        <v/>
      </c>
      <c r="S174" s="9" t="n"/>
      <c r="T174" s="8" t="n"/>
      <c r="U174" s="4" t="n"/>
      <c r="V174" s="8" t="n"/>
      <c r="W174" s="12">
        <f>IF(OR($G174="",$U174=""),"",$U174-$G174-$M174-$J174)</f>
        <v/>
      </c>
      <c r="X174" s="12">
        <f>IF(OR($I174="",$U174=""),"",$I174-$U174)</f>
        <v/>
      </c>
      <c r="Y174" s="11">
        <f>IF(OR($T174="",$V174=""),"",$V174-$T174)</f>
        <v/>
      </c>
      <c r="Z174" s="11">
        <f>IF(OR($S174="未発送",$S174="発送済",$S174="査定済",$S174="入金済"),1,0)</f>
        <v/>
      </c>
      <c r="AA174" s="11">
        <f>IF($U174="",0,1)</f>
        <v/>
      </c>
    </row>
    <row r="175">
      <c r="A175" s="8" t="n"/>
      <c r="B175" s="9" t="n"/>
      <c r="C175" s="10" t="n"/>
      <c r="D175" s="9" t="n"/>
      <c r="E175" s="9" t="n"/>
      <c r="F175" s="9" t="n"/>
      <c r="G175" s="4" t="n"/>
      <c r="H175" s="5" t="n"/>
      <c r="I175" s="4" t="n"/>
      <c r="J175" s="4" t="n"/>
      <c r="K175" s="4" t="n"/>
      <c r="L175" s="11">
        <f>IF($G175="","",IF($F175="",1,MAX(1,COUNTIF($F$6:$F$505,$F175)-COUNTIFS($F$6:$F$505,$F175,$S$6:$S$505,"見送り"))))</f>
        <v/>
      </c>
      <c r="M175" s="12">
        <f>IF($G175="","",IF($K175="",'設定'!$C$6,$K175)/$L175)</f>
        <v/>
      </c>
      <c r="N175" s="12">
        <f>IF(OR($G175="",$I175=""),"",$I175-$G175-$M175-$J175)</f>
        <v/>
      </c>
      <c r="O175" s="13">
        <f>IF($N175="","",IF($G175&gt;0,$N175/$G175,0))</f>
        <v/>
      </c>
      <c r="P175" s="12">
        <f>IF($G175="","",$G175*$H175)</f>
        <v/>
      </c>
      <c r="Q175" s="12">
        <f>IF($N175="","",$N175-$I175*'設定'!$C$7)</f>
        <v/>
      </c>
      <c r="R175" s="14">
        <f>IF($N175="","",IF(AND($N175&gt;='設定'!$C$4,$O175&gt;='設定'!$C$5),IF($Q175&gt;=0,"仕入れOK","OK・下落に弱い"),"見送り"))</f>
        <v/>
      </c>
      <c r="S175" s="9" t="n"/>
      <c r="T175" s="8" t="n"/>
      <c r="U175" s="4" t="n"/>
      <c r="V175" s="8" t="n"/>
      <c r="W175" s="12">
        <f>IF(OR($G175="",$U175=""),"",$U175-$G175-$M175-$J175)</f>
        <v/>
      </c>
      <c r="X175" s="12">
        <f>IF(OR($I175="",$U175=""),"",$I175-$U175)</f>
        <v/>
      </c>
      <c r="Y175" s="11">
        <f>IF(OR($T175="",$V175=""),"",$V175-$T175)</f>
        <v/>
      </c>
      <c r="Z175" s="11">
        <f>IF(OR($S175="未発送",$S175="発送済",$S175="査定済",$S175="入金済"),1,0)</f>
        <v/>
      </c>
      <c r="AA175" s="11">
        <f>IF($U175="",0,1)</f>
        <v/>
      </c>
    </row>
    <row r="176">
      <c r="A176" s="8" t="n"/>
      <c r="B176" s="9" t="n"/>
      <c r="C176" s="10" t="n"/>
      <c r="D176" s="9" t="n"/>
      <c r="E176" s="9" t="n"/>
      <c r="F176" s="9" t="n"/>
      <c r="G176" s="4" t="n"/>
      <c r="H176" s="5" t="n"/>
      <c r="I176" s="4" t="n"/>
      <c r="J176" s="4" t="n"/>
      <c r="K176" s="4" t="n"/>
      <c r="L176" s="11">
        <f>IF($G176="","",IF($F176="",1,MAX(1,COUNTIF($F$6:$F$505,$F176)-COUNTIFS($F$6:$F$505,$F176,$S$6:$S$505,"見送り"))))</f>
        <v/>
      </c>
      <c r="M176" s="12">
        <f>IF($G176="","",IF($K176="",'設定'!$C$6,$K176)/$L176)</f>
        <v/>
      </c>
      <c r="N176" s="12">
        <f>IF(OR($G176="",$I176=""),"",$I176-$G176-$M176-$J176)</f>
        <v/>
      </c>
      <c r="O176" s="13">
        <f>IF($N176="","",IF($G176&gt;0,$N176/$G176,0))</f>
        <v/>
      </c>
      <c r="P176" s="12">
        <f>IF($G176="","",$G176*$H176)</f>
        <v/>
      </c>
      <c r="Q176" s="12">
        <f>IF($N176="","",$N176-$I176*'設定'!$C$7)</f>
        <v/>
      </c>
      <c r="R176" s="14">
        <f>IF($N176="","",IF(AND($N176&gt;='設定'!$C$4,$O176&gt;='設定'!$C$5),IF($Q176&gt;=0,"仕入れOK","OK・下落に弱い"),"見送り"))</f>
        <v/>
      </c>
      <c r="S176" s="9" t="n"/>
      <c r="T176" s="8" t="n"/>
      <c r="U176" s="4" t="n"/>
      <c r="V176" s="8" t="n"/>
      <c r="W176" s="12">
        <f>IF(OR($G176="",$U176=""),"",$U176-$G176-$M176-$J176)</f>
        <v/>
      </c>
      <c r="X176" s="12">
        <f>IF(OR($I176="",$U176=""),"",$I176-$U176)</f>
        <v/>
      </c>
      <c r="Y176" s="11">
        <f>IF(OR($T176="",$V176=""),"",$V176-$T176)</f>
        <v/>
      </c>
      <c r="Z176" s="11">
        <f>IF(OR($S176="未発送",$S176="発送済",$S176="査定済",$S176="入金済"),1,0)</f>
        <v/>
      </c>
      <c r="AA176" s="11">
        <f>IF($U176="",0,1)</f>
        <v/>
      </c>
    </row>
    <row r="177">
      <c r="A177" s="8" t="n"/>
      <c r="B177" s="9" t="n"/>
      <c r="C177" s="10" t="n"/>
      <c r="D177" s="9" t="n"/>
      <c r="E177" s="9" t="n"/>
      <c r="F177" s="9" t="n"/>
      <c r="G177" s="4" t="n"/>
      <c r="H177" s="5" t="n"/>
      <c r="I177" s="4" t="n"/>
      <c r="J177" s="4" t="n"/>
      <c r="K177" s="4" t="n"/>
      <c r="L177" s="11">
        <f>IF($G177="","",IF($F177="",1,MAX(1,COUNTIF($F$6:$F$505,$F177)-COUNTIFS($F$6:$F$505,$F177,$S$6:$S$505,"見送り"))))</f>
        <v/>
      </c>
      <c r="M177" s="12">
        <f>IF($G177="","",IF($K177="",'設定'!$C$6,$K177)/$L177)</f>
        <v/>
      </c>
      <c r="N177" s="12">
        <f>IF(OR($G177="",$I177=""),"",$I177-$G177-$M177-$J177)</f>
        <v/>
      </c>
      <c r="O177" s="13">
        <f>IF($N177="","",IF($G177&gt;0,$N177/$G177,0))</f>
        <v/>
      </c>
      <c r="P177" s="12">
        <f>IF($G177="","",$G177*$H177)</f>
        <v/>
      </c>
      <c r="Q177" s="12">
        <f>IF($N177="","",$N177-$I177*'設定'!$C$7)</f>
        <v/>
      </c>
      <c r="R177" s="14">
        <f>IF($N177="","",IF(AND($N177&gt;='設定'!$C$4,$O177&gt;='設定'!$C$5),IF($Q177&gt;=0,"仕入れOK","OK・下落に弱い"),"見送り"))</f>
        <v/>
      </c>
      <c r="S177" s="9" t="n"/>
      <c r="T177" s="8" t="n"/>
      <c r="U177" s="4" t="n"/>
      <c r="V177" s="8" t="n"/>
      <c r="W177" s="12">
        <f>IF(OR($G177="",$U177=""),"",$U177-$G177-$M177-$J177)</f>
        <v/>
      </c>
      <c r="X177" s="12">
        <f>IF(OR($I177="",$U177=""),"",$I177-$U177)</f>
        <v/>
      </c>
      <c r="Y177" s="11">
        <f>IF(OR($T177="",$V177=""),"",$V177-$T177)</f>
        <v/>
      </c>
      <c r="Z177" s="11">
        <f>IF(OR($S177="未発送",$S177="発送済",$S177="査定済",$S177="入金済"),1,0)</f>
        <v/>
      </c>
      <c r="AA177" s="11">
        <f>IF($U177="",0,1)</f>
        <v/>
      </c>
    </row>
    <row r="178">
      <c r="A178" s="8" t="n"/>
      <c r="B178" s="9" t="n"/>
      <c r="C178" s="10" t="n"/>
      <c r="D178" s="9" t="n"/>
      <c r="E178" s="9" t="n"/>
      <c r="F178" s="9" t="n"/>
      <c r="G178" s="4" t="n"/>
      <c r="H178" s="5" t="n"/>
      <c r="I178" s="4" t="n"/>
      <c r="J178" s="4" t="n"/>
      <c r="K178" s="4" t="n"/>
      <c r="L178" s="11">
        <f>IF($G178="","",IF($F178="",1,MAX(1,COUNTIF($F$6:$F$505,$F178)-COUNTIFS($F$6:$F$505,$F178,$S$6:$S$505,"見送り"))))</f>
        <v/>
      </c>
      <c r="M178" s="12">
        <f>IF($G178="","",IF($K178="",'設定'!$C$6,$K178)/$L178)</f>
        <v/>
      </c>
      <c r="N178" s="12">
        <f>IF(OR($G178="",$I178=""),"",$I178-$G178-$M178-$J178)</f>
        <v/>
      </c>
      <c r="O178" s="13">
        <f>IF($N178="","",IF($G178&gt;0,$N178/$G178,0))</f>
        <v/>
      </c>
      <c r="P178" s="12">
        <f>IF($G178="","",$G178*$H178)</f>
        <v/>
      </c>
      <c r="Q178" s="12">
        <f>IF($N178="","",$N178-$I178*'設定'!$C$7)</f>
        <v/>
      </c>
      <c r="R178" s="14">
        <f>IF($N178="","",IF(AND($N178&gt;='設定'!$C$4,$O178&gt;='設定'!$C$5),IF($Q178&gt;=0,"仕入れOK","OK・下落に弱い"),"見送り"))</f>
        <v/>
      </c>
      <c r="S178" s="9" t="n"/>
      <c r="T178" s="8" t="n"/>
      <c r="U178" s="4" t="n"/>
      <c r="V178" s="8" t="n"/>
      <c r="W178" s="12">
        <f>IF(OR($G178="",$U178=""),"",$U178-$G178-$M178-$J178)</f>
        <v/>
      </c>
      <c r="X178" s="12">
        <f>IF(OR($I178="",$U178=""),"",$I178-$U178)</f>
        <v/>
      </c>
      <c r="Y178" s="11">
        <f>IF(OR($T178="",$V178=""),"",$V178-$T178)</f>
        <v/>
      </c>
      <c r="Z178" s="11">
        <f>IF(OR($S178="未発送",$S178="発送済",$S178="査定済",$S178="入金済"),1,0)</f>
        <v/>
      </c>
      <c r="AA178" s="11">
        <f>IF($U178="",0,1)</f>
        <v/>
      </c>
    </row>
    <row r="179">
      <c r="A179" s="8" t="n"/>
      <c r="B179" s="9" t="n"/>
      <c r="C179" s="10" t="n"/>
      <c r="D179" s="9" t="n"/>
      <c r="E179" s="9" t="n"/>
      <c r="F179" s="9" t="n"/>
      <c r="G179" s="4" t="n"/>
      <c r="H179" s="5" t="n"/>
      <c r="I179" s="4" t="n"/>
      <c r="J179" s="4" t="n"/>
      <c r="K179" s="4" t="n"/>
      <c r="L179" s="11">
        <f>IF($G179="","",IF($F179="",1,MAX(1,COUNTIF($F$6:$F$505,$F179)-COUNTIFS($F$6:$F$505,$F179,$S$6:$S$505,"見送り"))))</f>
        <v/>
      </c>
      <c r="M179" s="12">
        <f>IF($G179="","",IF($K179="",'設定'!$C$6,$K179)/$L179)</f>
        <v/>
      </c>
      <c r="N179" s="12">
        <f>IF(OR($G179="",$I179=""),"",$I179-$G179-$M179-$J179)</f>
        <v/>
      </c>
      <c r="O179" s="13">
        <f>IF($N179="","",IF($G179&gt;0,$N179/$G179,0))</f>
        <v/>
      </c>
      <c r="P179" s="12">
        <f>IF($G179="","",$G179*$H179)</f>
        <v/>
      </c>
      <c r="Q179" s="12">
        <f>IF($N179="","",$N179-$I179*'設定'!$C$7)</f>
        <v/>
      </c>
      <c r="R179" s="14">
        <f>IF($N179="","",IF(AND($N179&gt;='設定'!$C$4,$O179&gt;='設定'!$C$5),IF($Q179&gt;=0,"仕入れOK","OK・下落に弱い"),"見送り"))</f>
        <v/>
      </c>
      <c r="S179" s="9" t="n"/>
      <c r="T179" s="8" t="n"/>
      <c r="U179" s="4" t="n"/>
      <c r="V179" s="8" t="n"/>
      <c r="W179" s="12">
        <f>IF(OR($G179="",$U179=""),"",$U179-$G179-$M179-$J179)</f>
        <v/>
      </c>
      <c r="X179" s="12">
        <f>IF(OR($I179="",$U179=""),"",$I179-$U179)</f>
        <v/>
      </c>
      <c r="Y179" s="11">
        <f>IF(OR($T179="",$V179=""),"",$V179-$T179)</f>
        <v/>
      </c>
      <c r="Z179" s="11">
        <f>IF(OR($S179="未発送",$S179="発送済",$S179="査定済",$S179="入金済"),1,0)</f>
        <v/>
      </c>
      <c r="AA179" s="11">
        <f>IF($U179="",0,1)</f>
        <v/>
      </c>
    </row>
    <row r="180">
      <c r="A180" s="8" t="n"/>
      <c r="B180" s="9" t="n"/>
      <c r="C180" s="10" t="n"/>
      <c r="D180" s="9" t="n"/>
      <c r="E180" s="9" t="n"/>
      <c r="F180" s="9" t="n"/>
      <c r="G180" s="4" t="n"/>
      <c r="H180" s="5" t="n"/>
      <c r="I180" s="4" t="n"/>
      <c r="J180" s="4" t="n"/>
      <c r="K180" s="4" t="n"/>
      <c r="L180" s="11">
        <f>IF($G180="","",IF($F180="",1,MAX(1,COUNTIF($F$6:$F$505,$F180)-COUNTIFS($F$6:$F$505,$F180,$S$6:$S$505,"見送り"))))</f>
        <v/>
      </c>
      <c r="M180" s="12">
        <f>IF($G180="","",IF($K180="",'設定'!$C$6,$K180)/$L180)</f>
        <v/>
      </c>
      <c r="N180" s="12">
        <f>IF(OR($G180="",$I180=""),"",$I180-$G180-$M180-$J180)</f>
        <v/>
      </c>
      <c r="O180" s="13">
        <f>IF($N180="","",IF($G180&gt;0,$N180/$G180,0))</f>
        <v/>
      </c>
      <c r="P180" s="12">
        <f>IF($G180="","",$G180*$H180)</f>
        <v/>
      </c>
      <c r="Q180" s="12">
        <f>IF($N180="","",$N180-$I180*'設定'!$C$7)</f>
        <v/>
      </c>
      <c r="R180" s="14">
        <f>IF($N180="","",IF(AND($N180&gt;='設定'!$C$4,$O180&gt;='設定'!$C$5),IF($Q180&gt;=0,"仕入れOK","OK・下落に弱い"),"見送り"))</f>
        <v/>
      </c>
      <c r="S180" s="9" t="n"/>
      <c r="T180" s="8" t="n"/>
      <c r="U180" s="4" t="n"/>
      <c r="V180" s="8" t="n"/>
      <c r="W180" s="12">
        <f>IF(OR($G180="",$U180=""),"",$U180-$G180-$M180-$J180)</f>
        <v/>
      </c>
      <c r="X180" s="12">
        <f>IF(OR($I180="",$U180=""),"",$I180-$U180)</f>
        <v/>
      </c>
      <c r="Y180" s="11">
        <f>IF(OR($T180="",$V180=""),"",$V180-$T180)</f>
        <v/>
      </c>
      <c r="Z180" s="11">
        <f>IF(OR($S180="未発送",$S180="発送済",$S180="査定済",$S180="入金済"),1,0)</f>
        <v/>
      </c>
      <c r="AA180" s="11">
        <f>IF($U180="",0,1)</f>
        <v/>
      </c>
    </row>
    <row r="181">
      <c r="A181" s="8" t="n"/>
      <c r="B181" s="9" t="n"/>
      <c r="C181" s="10" t="n"/>
      <c r="D181" s="9" t="n"/>
      <c r="E181" s="9" t="n"/>
      <c r="F181" s="9" t="n"/>
      <c r="G181" s="4" t="n"/>
      <c r="H181" s="5" t="n"/>
      <c r="I181" s="4" t="n"/>
      <c r="J181" s="4" t="n"/>
      <c r="K181" s="4" t="n"/>
      <c r="L181" s="11">
        <f>IF($G181="","",IF($F181="",1,MAX(1,COUNTIF($F$6:$F$505,$F181)-COUNTIFS($F$6:$F$505,$F181,$S$6:$S$505,"見送り"))))</f>
        <v/>
      </c>
      <c r="M181" s="12">
        <f>IF($G181="","",IF($K181="",'設定'!$C$6,$K181)/$L181)</f>
        <v/>
      </c>
      <c r="N181" s="12">
        <f>IF(OR($G181="",$I181=""),"",$I181-$G181-$M181-$J181)</f>
        <v/>
      </c>
      <c r="O181" s="13">
        <f>IF($N181="","",IF($G181&gt;0,$N181/$G181,0))</f>
        <v/>
      </c>
      <c r="P181" s="12">
        <f>IF($G181="","",$G181*$H181)</f>
        <v/>
      </c>
      <c r="Q181" s="12">
        <f>IF($N181="","",$N181-$I181*'設定'!$C$7)</f>
        <v/>
      </c>
      <c r="R181" s="14">
        <f>IF($N181="","",IF(AND($N181&gt;='設定'!$C$4,$O181&gt;='設定'!$C$5),IF($Q181&gt;=0,"仕入れOK","OK・下落に弱い"),"見送り"))</f>
        <v/>
      </c>
      <c r="S181" s="9" t="n"/>
      <c r="T181" s="8" t="n"/>
      <c r="U181" s="4" t="n"/>
      <c r="V181" s="8" t="n"/>
      <c r="W181" s="12">
        <f>IF(OR($G181="",$U181=""),"",$U181-$G181-$M181-$J181)</f>
        <v/>
      </c>
      <c r="X181" s="12">
        <f>IF(OR($I181="",$U181=""),"",$I181-$U181)</f>
        <v/>
      </c>
      <c r="Y181" s="11">
        <f>IF(OR($T181="",$V181=""),"",$V181-$T181)</f>
        <v/>
      </c>
      <c r="Z181" s="11">
        <f>IF(OR($S181="未発送",$S181="発送済",$S181="査定済",$S181="入金済"),1,0)</f>
        <v/>
      </c>
      <c r="AA181" s="11">
        <f>IF($U181="",0,1)</f>
        <v/>
      </c>
    </row>
    <row r="182">
      <c r="A182" s="8" t="n"/>
      <c r="B182" s="9" t="n"/>
      <c r="C182" s="10" t="n"/>
      <c r="D182" s="9" t="n"/>
      <c r="E182" s="9" t="n"/>
      <c r="F182" s="9" t="n"/>
      <c r="G182" s="4" t="n"/>
      <c r="H182" s="5" t="n"/>
      <c r="I182" s="4" t="n"/>
      <c r="J182" s="4" t="n"/>
      <c r="K182" s="4" t="n"/>
      <c r="L182" s="11">
        <f>IF($G182="","",IF($F182="",1,MAX(1,COUNTIF($F$6:$F$505,$F182)-COUNTIFS($F$6:$F$505,$F182,$S$6:$S$505,"見送り"))))</f>
        <v/>
      </c>
      <c r="M182" s="12">
        <f>IF($G182="","",IF($K182="",'設定'!$C$6,$K182)/$L182)</f>
        <v/>
      </c>
      <c r="N182" s="12">
        <f>IF(OR($G182="",$I182=""),"",$I182-$G182-$M182-$J182)</f>
        <v/>
      </c>
      <c r="O182" s="13">
        <f>IF($N182="","",IF($G182&gt;0,$N182/$G182,0))</f>
        <v/>
      </c>
      <c r="P182" s="12">
        <f>IF($G182="","",$G182*$H182)</f>
        <v/>
      </c>
      <c r="Q182" s="12">
        <f>IF($N182="","",$N182-$I182*'設定'!$C$7)</f>
        <v/>
      </c>
      <c r="R182" s="14">
        <f>IF($N182="","",IF(AND($N182&gt;='設定'!$C$4,$O182&gt;='設定'!$C$5),IF($Q182&gt;=0,"仕入れOK","OK・下落に弱い"),"見送り"))</f>
        <v/>
      </c>
      <c r="S182" s="9" t="n"/>
      <c r="T182" s="8" t="n"/>
      <c r="U182" s="4" t="n"/>
      <c r="V182" s="8" t="n"/>
      <c r="W182" s="12">
        <f>IF(OR($G182="",$U182=""),"",$U182-$G182-$M182-$J182)</f>
        <v/>
      </c>
      <c r="X182" s="12">
        <f>IF(OR($I182="",$U182=""),"",$I182-$U182)</f>
        <v/>
      </c>
      <c r="Y182" s="11">
        <f>IF(OR($T182="",$V182=""),"",$V182-$T182)</f>
        <v/>
      </c>
      <c r="Z182" s="11">
        <f>IF(OR($S182="未発送",$S182="発送済",$S182="査定済",$S182="入金済"),1,0)</f>
        <v/>
      </c>
      <c r="AA182" s="11">
        <f>IF($U182="",0,1)</f>
        <v/>
      </c>
    </row>
    <row r="183">
      <c r="A183" s="8" t="n"/>
      <c r="B183" s="9" t="n"/>
      <c r="C183" s="10" t="n"/>
      <c r="D183" s="9" t="n"/>
      <c r="E183" s="9" t="n"/>
      <c r="F183" s="9" t="n"/>
      <c r="G183" s="4" t="n"/>
      <c r="H183" s="5" t="n"/>
      <c r="I183" s="4" t="n"/>
      <c r="J183" s="4" t="n"/>
      <c r="K183" s="4" t="n"/>
      <c r="L183" s="11">
        <f>IF($G183="","",IF($F183="",1,MAX(1,COUNTIF($F$6:$F$505,$F183)-COUNTIFS($F$6:$F$505,$F183,$S$6:$S$505,"見送り"))))</f>
        <v/>
      </c>
      <c r="M183" s="12">
        <f>IF($G183="","",IF($K183="",'設定'!$C$6,$K183)/$L183)</f>
        <v/>
      </c>
      <c r="N183" s="12">
        <f>IF(OR($G183="",$I183=""),"",$I183-$G183-$M183-$J183)</f>
        <v/>
      </c>
      <c r="O183" s="13">
        <f>IF($N183="","",IF($G183&gt;0,$N183/$G183,0))</f>
        <v/>
      </c>
      <c r="P183" s="12">
        <f>IF($G183="","",$G183*$H183)</f>
        <v/>
      </c>
      <c r="Q183" s="12">
        <f>IF($N183="","",$N183-$I183*'設定'!$C$7)</f>
        <v/>
      </c>
      <c r="R183" s="14">
        <f>IF($N183="","",IF(AND($N183&gt;='設定'!$C$4,$O183&gt;='設定'!$C$5),IF($Q183&gt;=0,"仕入れOK","OK・下落に弱い"),"見送り"))</f>
        <v/>
      </c>
      <c r="S183" s="9" t="n"/>
      <c r="T183" s="8" t="n"/>
      <c r="U183" s="4" t="n"/>
      <c r="V183" s="8" t="n"/>
      <c r="W183" s="12">
        <f>IF(OR($G183="",$U183=""),"",$U183-$G183-$M183-$J183)</f>
        <v/>
      </c>
      <c r="X183" s="12">
        <f>IF(OR($I183="",$U183=""),"",$I183-$U183)</f>
        <v/>
      </c>
      <c r="Y183" s="11">
        <f>IF(OR($T183="",$V183=""),"",$V183-$T183)</f>
        <v/>
      </c>
      <c r="Z183" s="11">
        <f>IF(OR($S183="未発送",$S183="発送済",$S183="査定済",$S183="入金済"),1,0)</f>
        <v/>
      </c>
      <c r="AA183" s="11">
        <f>IF($U183="",0,1)</f>
        <v/>
      </c>
    </row>
    <row r="184">
      <c r="A184" s="8" t="n"/>
      <c r="B184" s="9" t="n"/>
      <c r="C184" s="10" t="n"/>
      <c r="D184" s="9" t="n"/>
      <c r="E184" s="9" t="n"/>
      <c r="F184" s="9" t="n"/>
      <c r="G184" s="4" t="n"/>
      <c r="H184" s="5" t="n"/>
      <c r="I184" s="4" t="n"/>
      <c r="J184" s="4" t="n"/>
      <c r="K184" s="4" t="n"/>
      <c r="L184" s="11">
        <f>IF($G184="","",IF($F184="",1,MAX(1,COUNTIF($F$6:$F$505,$F184)-COUNTIFS($F$6:$F$505,$F184,$S$6:$S$505,"見送り"))))</f>
        <v/>
      </c>
      <c r="M184" s="12">
        <f>IF($G184="","",IF($K184="",'設定'!$C$6,$K184)/$L184)</f>
        <v/>
      </c>
      <c r="N184" s="12">
        <f>IF(OR($G184="",$I184=""),"",$I184-$G184-$M184-$J184)</f>
        <v/>
      </c>
      <c r="O184" s="13">
        <f>IF($N184="","",IF($G184&gt;0,$N184/$G184,0))</f>
        <v/>
      </c>
      <c r="P184" s="12">
        <f>IF($G184="","",$G184*$H184)</f>
        <v/>
      </c>
      <c r="Q184" s="12">
        <f>IF($N184="","",$N184-$I184*'設定'!$C$7)</f>
        <v/>
      </c>
      <c r="R184" s="14">
        <f>IF($N184="","",IF(AND($N184&gt;='設定'!$C$4,$O184&gt;='設定'!$C$5),IF($Q184&gt;=0,"仕入れOK","OK・下落に弱い"),"見送り"))</f>
        <v/>
      </c>
      <c r="S184" s="9" t="n"/>
      <c r="T184" s="8" t="n"/>
      <c r="U184" s="4" t="n"/>
      <c r="V184" s="8" t="n"/>
      <c r="W184" s="12">
        <f>IF(OR($G184="",$U184=""),"",$U184-$G184-$M184-$J184)</f>
        <v/>
      </c>
      <c r="X184" s="12">
        <f>IF(OR($I184="",$U184=""),"",$I184-$U184)</f>
        <v/>
      </c>
      <c r="Y184" s="11">
        <f>IF(OR($T184="",$V184=""),"",$V184-$T184)</f>
        <v/>
      </c>
      <c r="Z184" s="11">
        <f>IF(OR($S184="未発送",$S184="発送済",$S184="査定済",$S184="入金済"),1,0)</f>
        <v/>
      </c>
      <c r="AA184" s="11">
        <f>IF($U184="",0,1)</f>
        <v/>
      </c>
    </row>
    <row r="185">
      <c r="A185" s="8" t="n"/>
      <c r="B185" s="9" t="n"/>
      <c r="C185" s="10" t="n"/>
      <c r="D185" s="9" t="n"/>
      <c r="E185" s="9" t="n"/>
      <c r="F185" s="9" t="n"/>
      <c r="G185" s="4" t="n"/>
      <c r="H185" s="5" t="n"/>
      <c r="I185" s="4" t="n"/>
      <c r="J185" s="4" t="n"/>
      <c r="K185" s="4" t="n"/>
      <c r="L185" s="11">
        <f>IF($G185="","",IF($F185="",1,MAX(1,COUNTIF($F$6:$F$505,$F185)-COUNTIFS($F$6:$F$505,$F185,$S$6:$S$505,"見送り"))))</f>
        <v/>
      </c>
      <c r="M185" s="12">
        <f>IF($G185="","",IF($K185="",'設定'!$C$6,$K185)/$L185)</f>
        <v/>
      </c>
      <c r="N185" s="12">
        <f>IF(OR($G185="",$I185=""),"",$I185-$G185-$M185-$J185)</f>
        <v/>
      </c>
      <c r="O185" s="13">
        <f>IF($N185="","",IF($G185&gt;0,$N185/$G185,0))</f>
        <v/>
      </c>
      <c r="P185" s="12">
        <f>IF($G185="","",$G185*$H185)</f>
        <v/>
      </c>
      <c r="Q185" s="12">
        <f>IF($N185="","",$N185-$I185*'設定'!$C$7)</f>
        <v/>
      </c>
      <c r="R185" s="14">
        <f>IF($N185="","",IF(AND($N185&gt;='設定'!$C$4,$O185&gt;='設定'!$C$5),IF($Q185&gt;=0,"仕入れOK","OK・下落に弱い"),"見送り"))</f>
        <v/>
      </c>
      <c r="S185" s="9" t="n"/>
      <c r="T185" s="8" t="n"/>
      <c r="U185" s="4" t="n"/>
      <c r="V185" s="8" t="n"/>
      <c r="W185" s="12">
        <f>IF(OR($G185="",$U185=""),"",$U185-$G185-$M185-$J185)</f>
        <v/>
      </c>
      <c r="X185" s="12">
        <f>IF(OR($I185="",$U185=""),"",$I185-$U185)</f>
        <v/>
      </c>
      <c r="Y185" s="11">
        <f>IF(OR($T185="",$V185=""),"",$V185-$T185)</f>
        <v/>
      </c>
      <c r="Z185" s="11">
        <f>IF(OR($S185="未発送",$S185="発送済",$S185="査定済",$S185="入金済"),1,0)</f>
        <v/>
      </c>
      <c r="AA185" s="11">
        <f>IF($U185="",0,1)</f>
        <v/>
      </c>
    </row>
    <row r="186">
      <c r="A186" s="8" t="n"/>
      <c r="B186" s="9" t="n"/>
      <c r="C186" s="10" t="n"/>
      <c r="D186" s="9" t="n"/>
      <c r="E186" s="9" t="n"/>
      <c r="F186" s="9" t="n"/>
      <c r="G186" s="4" t="n"/>
      <c r="H186" s="5" t="n"/>
      <c r="I186" s="4" t="n"/>
      <c r="J186" s="4" t="n"/>
      <c r="K186" s="4" t="n"/>
      <c r="L186" s="11">
        <f>IF($G186="","",IF($F186="",1,MAX(1,COUNTIF($F$6:$F$505,$F186)-COUNTIFS($F$6:$F$505,$F186,$S$6:$S$505,"見送り"))))</f>
        <v/>
      </c>
      <c r="M186" s="12">
        <f>IF($G186="","",IF($K186="",'設定'!$C$6,$K186)/$L186)</f>
        <v/>
      </c>
      <c r="N186" s="12">
        <f>IF(OR($G186="",$I186=""),"",$I186-$G186-$M186-$J186)</f>
        <v/>
      </c>
      <c r="O186" s="13">
        <f>IF($N186="","",IF($G186&gt;0,$N186/$G186,0))</f>
        <v/>
      </c>
      <c r="P186" s="12">
        <f>IF($G186="","",$G186*$H186)</f>
        <v/>
      </c>
      <c r="Q186" s="12">
        <f>IF($N186="","",$N186-$I186*'設定'!$C$7)</f>
        <v/>
      </c>
      <c r="R186" s="14">
        <f>IF($N186="","",IF(AND($N186&gt;='設定'!$C$4,$O186&gt;='設定'!$C$5),IF($Q186&gt;=0,"仕入れOK","OK・下落に弱い"),"見送り"))</f>
        <v/>
      </c>
      <c r="S186" s="9" t="n"/>
      <c r="T186" s="8" t="n"/>
      <c r="U186" s="4" t="n"/>
      <c r="V186" s="8" t="n"/>
      <c r="W186" s="12">
        <f>IF(OR($G186="",$U186=""),"",$U186-$G186-$M186-$J186)</f>
        <v/>
      </c>
      <c r="X186" s="12">
        <f>IF(OR($I186="",$U186=""),"",$I186-$U186)</f>
        <v/>
      </c>
      <c r="Y186" s="11">
        <f>IF(OR($T186="",$V186=""),"",$V186-$T186)</f>
        <v/>
      </c>
      <c r="Z186" s="11">
        <f>IF(OR($S186="未発送",$S186="発送済",$S186="査定済",$S186="入金済"),1,0)</f>
        <v/>
      </c>
      <c r="AA186" s="11">
        <f>IF($U186="",0,1)</f>
        <v/>
      </c>
    </row>
    <row r="187">
      <c r="A187" s="8" t="n"/>
      <c r="B187" s="9" t="n"/>
      <c r="C187" s="10" t="n"/>
      <c r="D187" s="9" t="n"/>
      <c r="E187" s="9" t="n"/>
      <c r="F187" s="9" t="n"/>
      <c r="G187" s="4" t="n"/>
      <c r="H187" s="5" t="n"/>
      <c r="I187" s="4" t="n"/>
      <c r="J187" s="4" t="n"/>
      <c r="K187" s="4" t="n"/>
      <c r="L187" s="11">
        <f>IF($G187="","",IF($F187="",1,MAX(1,COUNTIF($F$6:$F$505,$F187)-COUNTIFS($F$6:$F$505,$F187,$S$6:$S$505,"見送り"))))</f>
        <v/>
      </c>
      <c r="M187" s="12">
        <f>IF($G187="","",IF($K187="",'設定'!$C$6,$K187)/$L187)</f>
        <v/>
      </c>
      <c r="N187" s="12">
        <f>IF(OR($G187="",$I187=""),"",$I187-$G187-$M187-$J187)</f>
        <v/>
      </c>
      <c r="O187" s="13">
        <f>IF($N187="","",IF($G187&gt;0,$N187/$G187,0))</f>
        <v/>
      </c>
      <c r="P187" s="12">
        <f>IF($G187="","",$G187*$H187)</f>
        <v/>
      </c>
      <c r="Q187" s="12">
        <f>IF($N187="","",$N187-$I187*'設定'!$C$7)</f>
        <v/>
      </c>
      <c r="R187" s="14">
        <f>IF($N187="","",IF(AND($N187&gt;='設定'!$C$4,$O187&gt;='設定'!$C$5),IF($Q187&gt;=0,"仕入れOK","OK・下落に弱い"),"見送り"))</f>
        <v/>
      </c>
      <c r="S187" s="9" t="n"/>
      <c r="T187" s="8" t="n"/>
      <c r="U187" s="4" t="n"/>
      <c r="V187" s="8" t="n"/>
      <c r="W187" s="12">
        <f>IF(OR($G187="",$U187=""),"",$U187-$G187-$M187-$J187)</f>
        <v/>
      </c>
      <c r="X187" s="12">
        <f>IF(OR($I187="",$U187=""),"",$I187-$U187)</f>
        <v/>
      </c>
      <c r="Y187" s="11">
        <f>IF(OR($T187="",$V187=""),"",$V187-$T187)</f>
        <v/>
      </c>
      <c r="Z187" s="11">
        <f>IF(OR($S187="未発送",$S187="発送済",$S187="査定済",$S187="入金済"),1,0)</f>
        <v/>
      </c>
      <c r="AA187" s="11">
        <f>IF($U187="",0,1)</f>
        <v/>
      </c>
    </row>
    <row r="188">
      <c r="A188" s="8" t="n"/>
      <c r="B188" s="9" t="n"/>
      <c r="C188" s="10" t="n"/>
      <c r="D188" s="9" t="n"/>
      <c r="E188" s="9" t="n"/>
      <c r="F188" s="9" t="n"/>
      <c r="G188" s="4" t="n"/>
      <c r="H188" s="5" t="n"/>
      <c r="I188" s="4" t="n"/>
      <c r="J188" s="4" t="n"/>
      <c r="K188" s="4" t="n"/>
      <c r="L188" s="11">
        <f>IF($G188="","",IF($F188="",1,MAX(1,COUNTIF($F$6:$F$505,$F188)-COUNTIFS($F$6:$F$505,$F188,$S$6:$S$505,"見送り"))))</f>
        <v/>
      </c>
      <c r="M188" s="12">
        <f>IF($G188="","",IF($K188="",'設定'!$C$6,$K188)/$L188)</f>
        <v/>
      </c>
      <c r="N188" s="12">
        <f>IF(OR($G188="",$I188=""),"",$I188-$G188-$M188-$J188)</f>
        <v/>
      </c>
      <c r="O188" s="13">
        <f>IF($N188="","",IF($G188&gt;0,$N188/$G188,0))</f>
        <v/>
      </c>
      <c r="P188" s="12">
        <f>IF($G188="","",$G188*$H188)</f>
        <v/>
      </c>
      <c r="Q188" s="12">
        <f>IF($N188="","",$N188-$I188*'設定'!$C$7)</f>
        <v/>
      </c>
      <c r="R188" s="14">
        <f>IF($N188="","",IF(AND($N188&gt;='設定'!$C$4,$O188&gt;='設定'!$C$5),IF($Q188&gt;=0,"仕入れOK","OK・下落に弱い"),"見送り"))</f>
        <v/>
      </c>
      <c r="S188" s="9" t="n"/>
      <c r="T188" s="8" t="n"/>
      <c r="U188" s="4" t="n"/>
      <c r="V188" s="8" t="n"/>
      <c r="W188" s="12">
        <f>IF(OR($G188="",$U188=""),"",$U188-$G188-$M188-$J188)</f>
        <v/>
      </c>
      <c r="X188" s="12">
        <f>IF(OR($I188="",$U188=""),"",$I188-$U188)</f>
        <v/>
      </c>
      <c r="Y188" s="11">
        <f>IF(OR($T188="",$V188=""),"",$V188-$T188)</f>
        <v/>
      </c>
      <c r="Z188" s="11">
        <f>IF(OR($S188="未発送",$S188="発送済",$S188="査定済",$S188="入金済"),1,0)</f>
        <v/>
      </c>
      <c r="AA188" s="11">
        <f>IF($U188="",0,1)</f>
        <v/>
      </c>
    </row>
    <row r="189">
      <c r="A189" s="8" t="n"/>
      <c r="B189" s="9" t="n"/>
      <c r="C189" s="10" t="n"/>
      <c r="D189" s="9" t="n"/>
      <c r="E189" s="9" t="n"/>
      <c r="F189" s="9" t="n"/>
      <c r="G189" s="4" t="n"/>
      <c r="H189" s="5" t="n"/>
      <c r="I189" s="4" t="n"/>
      <c r="J189" s="4" t="n"/>
      <c r="K189" s="4" t="n"/>
      <c r="L189" s="11">
        <f>IF($G189="","",IF($F189="",1,MAX(1,COUNTIF($F$6:$F$505,$F189)-COUNTIFS($F$6:$F$505,$F189,$S$6:$S$505,"見送り"))))</f>
        <v/>
      </c>
      <c r="M189" s="12">
        <f>IF($G189="","",IF($K189="",'設定'!$C$6,$K189)/$L189)</f>
        <v/>
      </c>
      <c r="N189" s="12">
        <f>IF(OR($G189="",$I189=""),"",$I189-$G189-$M189-$J189)</f>
        <v/>
      </c>
      <c r="O189" s="13">
        <f>IF($N189="","",IF($G189&gt;0,$N189/$G189,0))</f>
        <v/>
      </c>
      <c r="P189" s="12">
        <f>IF($G189="","",$G189*$H189)</f>
        <v/>
      </c>
      <c r="Q189" s="12">
        <f>IF($N189="","",$N189-$I189*'設定'!$C$7)</f>
        <v/>
      </c>
      <c r="R189" s="14">
        <f>IF($N189="","",IF(AND($N189&gt;='設定'!$C$4,$O189&gt;='設定'!$C$5),IF($Q189&gt;=0,"仕入れOK","OK・下落に弱い"),"見送り"))</f>
        <v/>
      </c>
      <c r="S189" s="9" t="n"/>
      <c r="T189" s="8" t="n"/>
      <c r="U189" s="4" t="n"/>
      <c r="V189" s="8" t="n"/>
      <c r="W189" s="12">
        <f>IF(OR($G189="",$U189=""),"",$U189-$G189-$M189-$J189)</f>
        <v/>
      </c>
      <c r="X189" s="12">
        <f>IF(OR($I189="",$U189=""),"",$I189-$U189)</f>
        <v/>
      </c>
      <c r="Y189" s="11">
        <f>IF(OR($T189="",$V189=""),"",$V189-$T189)</f>
        <v/>
      </c>
      <c r="Z189" s="11">
        <f>IF(OR($S189="未発送",$S189="発送済",$S189="査定済",$S189="入金済"),1,0)</f>
        <v/>
      </c>
      <c r="AA189" s="11">
        <f>IF($U189="",0,1)</f>
        <v/>
      </c>
    </row>
    <row r="190">
      <c r="A190" s="8" t="n"/>
      <c r="B190" s="9" t="n"/>
      <c r="C190" s="10" t="n"/>
      <c r="D190" s="9" t="n"/>
      <c r="E190" s="9" t="n"/>
      <c r="F190" s="9" t="n"/>
      <c r="G190" s="4" t="n"/>
      <c r="H190" s="5" t="n"/>
      <c r="I190" s="4" t="n"/>
      <c r="J190" s="4" t="n"/>
      <c r="K190" s="4" t="n"/>
      <c r="L190" s="11">
        <f>IF($G190="","",IF($F190="",1,MAX(1,COUNTIF($F$6:$F$505,$F190)-COUNTIFS($F$6:$F$505,$F190,$S$6:$S$505,"見送り"))))</f>
        <v/>
      </c>
      <c r="M190" s="12">
        <f>IF($G190="","",IF($K190="",'設定'!$C$6,$K190)/$L190)</f>
        <v/>
      </c>
      <c r="N190" s="12">
        <f>IF(OR($G190="",$I190=""),"",$I190-$G190-$M190-$J190)</f>
        <v/>
      </c>
      <c r="O190" s="13">
        <f>IF($N190="","",IF($G190&gt;0,$N190/$G190,0))</f>
        <v/>
      </c>
      <c r="P190" s="12">
        <f>IF($G190="","",$G190*$H190)</f>
        <v/>
      </c>
      <c r="Q190" s="12">
        <f>IF($N190="","",$N190-$I190*'設定'!$C$7)</f>
        <v/>
      </c>
      <c r="R190" s="14">
        <f>IF($N190="","",IF(AND($N190&gt;='設定'!$C$4,$O190&gt;='設定'!$C$5),IF($Q190&gt;=0,"仕入れOK","OK・下落に弱い"),"見送り"))</f>
        <v/>
      </c>
      <c r="S190" s="9" t="n"/>
      <c r="T190" s="8" t="n"/>
      <c r="U190" s="4" t="n"/>
      <c r="V190" s="8" t="n"/>
      <c r="W190" s="12">
        <f>IF(OR($G190="",$U190=""),"",$U190-$G190-$M190-$J190)</f>
        <v/>
      </c>
      <c r="X190" s="12">
        <f>IF(OR($I190="",$U190=""),"",$I190-$U190)</f>
        <v/>
      </c>
      <c r="Y190" s="11">
        <f>IF(OR($T190="",$V190=""),"",$V190-$T190)</f>
        <v/>
      </c>
      <c r="Z190" s="11">
        <f>IF(OR($S190="未発送",$S190="発送済",$S190="査定済",$S190="入金済"),1,0)</f>
        <v/>
      </c>
      <c r="AA190" s="11">
        <f>IF($U190="",0,1)</f>
        <v/>
      </c>
    </row>
    <row r="191">
      <c r="A191" s="8" t="n"/>
      <c r="B191" s="9" t="n"/>
      <c r="C191" s="10" t="n"/>
      <c r="D191" s="9" t="n"/>
      <c r="E191" s="9" t="n"/>
      <c r="F191" s="9" t="n"/>
      <c r="G191" s="4" t="n"/>
      <c r="H191" s="5" t="n"/>
      <c r="I191" s="4" t="n"/>
      <c r="J191" s="4" t="n"/>
      <c r="K191" s="4" t="n"/>
      <c r="L191" s="11">
        <f>IF($G191="","",IF($F191="",1,MAX(1,COUNTIF($F$6:$F$505,$F191)-COUNTIFS($F$6:$F$505,$F191,$S$6:$S$505,"見送り"))))</f>
        <v/>
      </c>
      <c r="M191" s="12">
        <f>IF($G191="","",IF($K191="",'設定'!$C$6,$K191)/$L191)</f>
        <v/>
      </c>
      <c r="N191" s="12">
        <f>IF(OR($G191="",$I191=""),"",$I191-$G191-$M191-$J191)</f>
        <v/>
      </c>
      <c r="O191" s="13">
        <f>IF($N191="","",IF($G191&gt;0,$N191/$G191,0))</f>
        <v/>
      </c>
      <c r="P191" s="12">
        <f>IF($G191="","",$G191*$H191)</f>
        <v/>
      </c>
      <c r="Q191" s="12">
        <f>IF($N191="","",$N191-$I191*'設定'!$C$7)</f>
        <v/>
      </c>
      <c r="R191" s="14">
        <f>IF($N191="","",IF(AND($N191&gt;='設定'!$C$4,$O191&gt;='設定'!$C$5),IF($Q191&gt;=0,"仕入れOK","OK・下落に弱い"),"見送り"))</f>
        <v/>
      </c>
      <c r="S191" s="9" t="n"/>
      <c r="T191" s="8" t="n"/>
      <c r="U191" s="4" t="n"/>
      <c r="V191" s="8" t="n"/>
      <c r="W191" s="12">
        <f>IF(OR($G191="",$U191=""),"",$U191-$G191-$M191-$J191)</f>
        <v/>
      </c>
      <c r="X191" s="12">
        <f>IF(OR($I191="",$U191=""),"",$I191-$U191)</f>
        <v/>
      </c>
      <c r="Y191" s="11">
        <f>IF(OR($T191="",$V191=""),"",$V191-$T191)</f>
        <v/>
      </c>
      <c r="Z191" s="11">
        <f>IF(OR($S191="未発送",$S191="発送済",$S191="査定済",$S191="入金済"),1,0)</f>
        <v/>
      </c>
      <c r="AA191" s="11">
        <f>IF($U191="",0,1)</f>
        <v/>
      </c>
    </row>
    <row r="192">
      <c r="A192" s="8" t="n"/>
      <c r="B192" s="9" t="n"/>
      <c r="C192" s="10" t="n"/>
      <c r="D192" s="9" t="n"/>
      <c r="E192" s="9" t="n"/>
      <c r="F192" s="9" t="n"/>
      <c r="G192" s="4" t="n"/>
      <c r="H192" s="5" t="n"/>
      <c r="I192" s="4" t="n"/>
      <c r="J192" s="4" t="n"/>
      <c r="K192" s="4" t="n"/>
      <c r="L192" s="11">
        <f>IF($G192="","",IF($F192="",1,MAX(1,COUNTIF($F$6:$F$505,$F192)-COUNTIFS($F$6:$F$505,$F192,$S$6:$S$505,"見送り"))))</f>
        <v/>
      </c>
      <c r="M192" s="12">
        <f>IF($G192="","",IF($K192="",'設定'!$C$6,$K192)/$L192)</f>
        <v/>
      </c>
      <c r="N192" s="12">
        <f>IF(OR($G192="",$I192=""),"",$I192-$G192-$M192-$J192)</f>
        <v/>
      </c>
      <c r="O192" s="13">
        <f>IF($N192="","",IF($G192&gt;0,$N192/$G192,0))</f>
        <v/>
      </c>
      <c r="P192" s="12">
        <f>IF($G192="","",$G192*$H192)</f>
        <v/>
      </c>
      <c r="Q192" s="12">
        <f>IF($N192="","",$N192-$I192*'設定'!$C$7)</f>
        <v/>
      </c>
      <c r="R192" s="14">
        <f>IF($N192="","",IF(AND($N192&gt;='設定'!$C$4,$O192&gt;='設定'!$C$5),IF($Q192&gt;=0,"仕入れOK","OK・下落に弱い"),"見送り"))</f>
        <v/>
      </c>
      <c r="S192" s="9" t="n"/>
      <c r="T192" s="8" t="n"/>
      <c r="U192" s="4" t="n"/>
      <c r="V192" s="8" t="n"/>
      <c r="W192" s="12">
        <f>IF(OR($G192="",$U192=""),"",$U192-$G192-$M192-$J192)</f>
        <v/>
      </c>
      <c r="X192" s="12">
        <f>IF(OR($I192="",$U192=""),"",$I192-$U192)</f>
        <v/>
      </c>
      <c r="Y192" s="11">
        <f>IF(OR($T192="",$V192=""),"",$V192-$T192)</f>
        <v/>
      </c>
      <c r="Z192" s="11">
        <f>IF(OR($S192="未発送",$S192="発送済",$S192="査定済",$S192="入金済"),1,0)</f>
        <v/>
      </c>
      <c r="AA192" s="11">
        <f>IF($U192="",0,1)</f>
        <v/>
      </c>
    </row>
    <row r="193">
      <c r="A193" s="8" t="n"/>
      <c r="B193" s="9" t="n"/>
      <c r="C193" s="10" t="n"/>
      <c r="D193" s="9" t="n"/>
      <c r="E193" s="9" t="n"/>
      <c r="F193" s="9" t="n"/>
      <c r="G193" s="4" t="n"/>
      <c r="H193" s="5" t="n"/>
      <c r="I193" s="4" t="n"/>
      <c r="J193" s="4" t="n"/>
      <c r="K193" s="4" t="n"/>
      <c r="L193" s="11">
        <f>IF($G193="","",IF($F193="",1,MAX(1,COUNTIF($F$6:$F$505,$F193)-COUNTIFS($F$6:$F$505,$F193,$S$6:$S$505,"見送り"))))</f>
        <v/>
      </c>
      <c r="M193" s="12">
        <f>IF($G193="","",IF($K193="",'設定'!$C$6,$K193)/$L193)</f>
        <v/>
      </c>
      <c r="N193" s="12">
        <f>IF(OR($G193="",$I193=""),"",$I193-$G193-$M193-$J193)</f>
        <v/>
      </c>
      <c r="O193" s="13">
        <f>IF($N193="","",IF($G193&gt;0,$N193/$G193,0))</f>
        <v/>
      </c>
      <c r="P193" s="12">
        <f>IF($G193="","",$G193*$H193)</f>
        <v/>
      </c>
      <c r="Q193" s="12">
        <f>IF($N193="","",$N193-$I193*'設定'!$C$7)</f>
        <v/>
      </c>
      <c r="R193" s="14">
        <f>IF($N193="","",IF(AND($N193&gt;='設定'!$C$4,$O193&gt;='設定'!$C$5),IF($Q193&gt;=0,"仕入れOK","OK・下落に弱い"),"見送り"))</f>
        <v/>
      </c>
      <c r="S193" s="9" t="n"/>
      <c r="T193" s="8" t="n"/>
      <c r="U193" s="4" t="n"/>
      <c r="V193" s="8" t="n"/>
      <c r="W193" s="12">
        <f>IF(OR($G193="",$U193=""),"",$U193-$G193-$M193-$J193)</f>
        <v/>
      </c>
      <c r="X193" s="12">
        <f>IF(OR($I193="",$U193=""),"",$I193-$U193)</f>
        <v/>
      </c>
      <c r="Y193" s="11">
        <f>IF(OR($T193="",$V193=""),"",$V193-$T193)</f>
        <v/>
      </c>
      <c r="Z193" s="11">
        <f>IF(OR($S193="未発送",$S193="発送済",$S193="査定済",$S193="入金済"),1,0)</f>
        <v/>
      </c>
      <c r="AA193" s="11">
        <f>IF($U193="",0,1)</f>
        <v/>
      </c>
    </row>
    <row r="194">
      <c r="A194" s="8" t="n"/>
      <c r="B194" s="9" t="n"/>
      <c r="C194" s="10" t="n"/>
      <c r="D194" s="9" t="n"/>
      <c r="E194" s="9" t="n"/>
      <c r="F194" s="9" t="n"/>
      <c r="G194" s="4" t="n"/>
      <c r="H194" s="5" t="n"/>
      <c r="I194" s="4" t="n"/>
      <c r="J194" s="4" t="n"/>
      <c r="K194" s="4" t="n"/>
      <c r="L194" s="11">
        <f>IF($G194="","",IF($F194="",1,MAX(1,COUNTIF($F$6:$F$505,$F194)-COUNTIFS($F$6:$F$505,$F194,$S$6:$S$505,"見送り"))))</f>
        <v/>
      </c>
      <c r="M194" s="12">
        <f>IF($G194="","",IF($K194="",'設定'!$C$6,$K194)/$L194)</f>
        <v/>
      </c>
      <c r="N194" s="12">
        <f>IF(OR($G194="",$I194=""),"",$I194-$G194-$M194-$J194)</f>
        <v/>
      </c>
      <c r="O194" s="13">
        <f>IF($N194="","",IF($G194&gt;0,$N194/$G194,0))</f>
        <v/>
      </c>
      <c r="P194" s="12">
        <f>IF($G194="","",$G194*$H194)</f>
        <v/>
      </c>
      <c r="Q194" s="12">
        <f>IF($N194="","",$N194-$I194*'設定'!$C$7)</f>
        <v/>
      </c>
      <c r="R194" s="14">
        <f>IF($N194="","",IF(AND($N194&gt;='設定'!$C$4,$O194&gt;='設定'!$C$5),IF($Q194&gt;=0,"仕入れOK","OK・下落に弱い"),"見送り"))</f>
        <v/>
      </c>
      <c r="S194" s="9" t="n"/>
      <c r="T194" s="8" t="n"/>
      <c r="U194" s="4" t="n"/>
      <c r="V194" s="8" t="n"/>
      <c r="W194" s="12">
        <f>IF(OR($G194="",$U194=""),"",$U194-$G194-$M194-$J194)</f>
        <v/>
      </c>
      <c r="X194" s="12">
        <f>IF(OR($I194="",$U194=""),"",$I194-$U194)</f>
        <v/>
      </c>
      <c r="Y194" s="11">
        <f>IF(OR($T194="",$V194=""),"",$V194-$T194)</f>
        <v/>
      </c>
      <c r="Z194" s="11">
        <f>IF(OR($S194="未発送",$S194="発送済",$S194="査定済",$S194="入金済"),1,0)</f>
        <v/>
      </c>
      <c r="AA194" s="11">
        <f>IF($U194="",0,1)</f>
        <v/>
      </c>
    </row>
    <row r="195">
      <c r="A195" s="8" t="n"/>
      <c r="B195" s="9" t="n"/>
      <c r="C195" s="10" t="n"/>
      <c r="D195" s="9" t="n"/>
      <c r="E195" s="9" t="n"/>
      <c r="F195" s="9" t="n"/>
      <c r="G195" s="4" t="n"/>
      <c r="H195" s="5" t="n"/>
      <c r="I195" s="4" t="n"/>
      <c r="J195" s="4" t="n"/>
      <c r="K195" s="4" t="n"/>
      <c r="L195" s="11">
        <f>IF($G195="","",IF($F195="",1,MAX(1,COUNTIF($F$6:$F$505,$F195)-COUNTIFS($F$6:$F$505,$F195,$S$6:$S$505,"見送り"))))</f>
        <v/>
      </c>
      <c r="M195" s="12">
        <f>IF($G195="","",IF($K195="",'設定'!$C$6,$K195)/$L195)</f>
        <v/>
      </c>
      <c r="N195" s="12">
        <f>IF(OR($G195="",$I195=""),"",$I195-$G195-$M195-$J195)</f>
        <v/>
      </c>
      <c r="O195" s="13">
        <f>IF($N195="","",IF($G195&gt;0,$N195/$G195,0))</f>
        <v/>
      </c>
      <c r="P195" s="12">
        <f>IF($G195="","",$G195*$H195)</f>
        <v/>
      </c>
      <c r="Q195" s="12">
        <f>IF($N195="","",$N195-$I195*'設定'!$C$7)</f>
        <v/>
      </c>
      <c r="R195" s="14">
        <f>IF($N195="","",IF(AND($N195&gt;='設定'!$C$4,$O195&gt;='設定'!$C$5),IF($Q195&gt;=0,"仕入れOK","OK・下落に弱い"),"見送り"))</f>
        <v/>
      </c>
      <c r="S195" s="9" t="n"/>
      <c r="T195" s="8" t="n"/>
      <c r="U195" s="4" t="n"/>
      <c r="V195" s="8" t="n"/>
      <c r="W195" s="12">
        <f>IF(OR($G195="",$U195=""),"",$U195-$G195-$M195-$J195)</f>
        <v/>
      </c>
      <c r="X195" s="12">
        <f>IF(OR($I195="",$U195=""),"",$I195-$U195)</f>
        <v/>
      </c>
      <c r="Y195" s="11">
        <f>IF(OR($T195="",$V195=""),"",$V195-$T195)</f>
        <v/>
      </c>
      <c r="Z195" s="11">
        <f>IF(OR($S195="未発送",$S195="発送済",$S195="査定済",$S195="入金済"),1,0)</f>
        <v/>
      </c>
      <c r="AA195" s="11">
        <f>IF($U195="",0,1)</f>
        <v/>
      </c>
    </row>
    <row r="196">
      <c r="A196" s="8" t="n"/>
      <c r="B196" s="9" t="n"/>
      <c r="C196" s="10" t="n"/>
      <c r="D196" s="9" t="n"/>
      <c r="E196" s="9" t="n"/>
      <c r="F196" s="9" t="n"/>
      <c r="G196" s="4" t="n"/>
      <c r="H196" s="5" t="n"/>
      <c r="I196" s="4" t="n"/>
      <c r="J196" s="4" t="n"/>
      <c r="K196" s="4" t="n"/>
      <c r="L196" s="11">
        <f>IF($G196="","",IF($F196="",1,MAX(1,COUNTIF($F$6:$F$505,$F196)-COUNTIFS($F$6:$F$505,$F196,$S$6:$S$505,"見送り"))))</f>
        <v/>
      </c>
      <c r="M196" s="12">
        <f>IF($G196="","",IF($K196="",'設定'!$C$6,$K196)/$L196)</f>
        <v/>
      </c>
      <c r="N196" s="12">
        <f>IF(OR($G196="",$I196=""),"",$I196-$G196-$M196-$J196)</f>
        <v/>
      </c>
      <c r="O196" s="13">
        <f>IF($N196="","",IF($G196&gt;0,$N196/$G196,0))</f>
        <v/>
      </c>
      <c r="P196" s="12">
        <f>IF($G196="","",$G196*$H196)</f>
        <v/>
      </c>
      <c r="Q196" s="12">
        <f>IF($N196="","",$N196-$I196*'設定'!$C$7)</f>
        <v/>
      </c>
      <c r="R196" s="14">
        <f>IF($N196="","",IF(AND($N196&gt;='設定'!$C$4,$O196&gt;='設定'!$C$5),IF($Q196&gt;=0,"仕入れOK","OK・下落に弱い"),"見送り"))</f>
        <v/>
      </c>
      <c r="S196" s="9" t="n"/>
      <c r="T196" s="8" t="n"/>
      <c r="U196" s="4" t="n"/>
      <c r="V196" s="8" t="n"/>
      <c r="W196" s="12">
        <f>IF(OR($G196="",$U196=""),"",$U196-$G196-$M196-$J196)</f>
        <v/>
      </c>
      <c r="X196" s="12">
        <f>IF(OR($I196="",$U196=""),"",$I196-$U196)</f>
        <v/>
      </c>
      <c r="Y196" s="11">
        <f>IF(OR($T196="",$V196=""),"",$V196-$T196)</f>
        <v/>
      </c>
      <c r="Z196" s="11">
        <f>IF(OR($S196="未発送",$S196="発送済",$S196="査定済",$S196="入金済"),1,0)</f>
        <v/>
      </c>
      <c r="AA196" s="11">
        <f>IF($U196="",0,1)</f>
        <v/>
      </c>
    </row>
    <row r="197">
      <c r="A197" s="8" t="n"/>
      <c r="B197" s="9" t="n"/>
      <c r="C197" s="10" t="n"/>
      <c r="D197" s="9" t="n"/>
      <c r="E197" s="9" t="n"/>
      <c r="F197" s="9" t="n"/>
      <c r="G197" s="4" t="n"/>
      <c r="H197" s="5" t="n"/>
      <c r="I197" s="4" t="n"/>
      <c r="J197" s="4" t="n"/>
      <c r="K197" s="4" t="n"/>
      <c r="L197" s="11">
        <f>IF($G197="","",IF($F197="",1,MAX(1,COUNTIF($F$6:$F$505,$F197)-COUNTIFS($F$6:$F$505,$F197,$S$6:$S$505,"見送り"))))</f>
        <v/>
      </c>
      <c r="M197" s="12">
        <f>IF($G197="","",IF($K197="",'設定'!$C$6,$K197)/$L197)</f>
        <v/>
      </c>
      <c r="N197" s="12">
        <f>IF(OR($G197="",$I197=""),"",$I197-$G197-$M197-$J197)</f>
        <v/>
      </c>
      <c r="O197" s="13">
        <f>IF($N197="","",IF($G197&gt;0,$N197/$G197,0))</f>
        <v/>
      </c>
      <c r="P197" s="12">
        <f>IF($G197="","",$G197*$H197)</f>
        <v/>
      </c>
      <c r="Q197" s="12">
        <f>IF($N197="","",$N197-$I197*'設定'!$C$7)</f>
        <v/>
      </c>
      <c r="R197" s="14">
        <f>IF($N197="","",IF(AND($N197&gt;='設定'!$C$4,$O197&gt;='設定'!$C$5),IF($Q197&gt;=0,"仕入れOK","OK・下落に弱い"),"見送り"))</f>
        <v/>
      </c>
      <c r="S197" s="9" t="n"/>
      <c r="T197" s="8" t="n"/>
      <c r="U197" s="4" t="n"/>
      <c r="V197" s="8" t="n"/>
      <c r="W197" s="12">
        <f>IF(OR($G197="",$U197=""),"",$U197-$G197-$M197-$J197)</f>
        <v/>
      </c>
      <c r="X197" s="12">
        <f>IF(OR($I197="",$U197=""),"",$I197-$U197)</f>
        <v/>
      </c>
      <c r="Y197" s="11">
        <f>IF(OR($T197="",$V197=""),"",$V197-$T197)</f>
        <v/>
      </c>
      <c r="Z197" s="11">
        <f>IF(OR($S197="未発送",$S197="発送済",$S197="査定済",$S197="入金済"),1,0)</f>
        <v/>
      </c>
      <c r="AA197" s="11">
        <f>IF($U197="",0,1)</f>
        <v/>
      </c>
    </row>
    <row r="198">
      <c r="A198" s="8" t="n"/>
      <c r="B198" s="9" t="n"/>
      <c r="C198" s="10" t="n"/>
      <c r="D198" s="9" t="n"/>
      <c r="E198" s="9" t="n"/>
      <c r="F198" s="9" t="n"/>
      <c r="G198" s="4" t="n"/>
      <c r="H198" s="5" t="n"/>
      <c r="I198" s="4" t="n"/>
      <c r="J198" s="4" t="n"/>
      <c r="K198" s="4" t="n"/>
      <c r="L198" s="11">
        <f>IF($G198="","",IF($F198="",1,MAX(1,COUNTIF($F$6:$F$505,$F198)-COUNTIFS($F$6:$F$505,$F198,$S$6:$S$505,"見送り"))))</f>
        <v/>
      </c>
      <c r="M198" s="12">
        <f>IF($G198="","",IF($K198="",'設定'!$C$6,$K198)/$L198)</f>
        <v/>
      </c>
      <c r="N198" s="12">
        <f>IF(OR($G198="",$I198=""),"",$I198-$G198-$M198-$J198)</f>
        <v/>
      </c>
      <c r="O198" s="13">
        <f>IF($N198="","",IF($G198&gt;0,$N198/$G198,0))</f>
        <v/>
      </c>
      <c r="P198" s="12">
        <f>IF($G198="","",$G198*$H198)</f>
        <v/>
      </c>
      <c r="Q198" s="12">
        <f>IF($N198="","",$N198-$I198*'設定'!$C$7)</f>
        <v/>
      </c>
      <c r="R198" s="14">
        <f>IF($N198="","",IF(AND($N198&gt;='設定'!$C$4,$O198&gt;='設定'!$C$5),IF($Q198&gt;=0,"仕入れOK","OK・下落に弱い"),"見送り"))</f>
        <v/>
      </c>
      <c r="S198" s="9" t="n"/>
      <c r="T198" s="8" t="n"/>
      <c r="U198" s="4" t="n"/>
      <c r="V198" s="8" t="n"/>
      <c r="W198" s="12">
        <f>IF(OR($G198="",$U198=""),"",$U198-$G198-$M198-$J198)</f>
        <v/>
      </c>
      <c r="X198" s="12">
        <f>IF(OR($I198="",$U198=""),"",$I198-$U198)</f>
        <v/>
      </c>
      <c r="Y198" s="11">
        <f>IF(OR($T198="",$V198=""),"",$V198-$T198)</f>
        <v/>
      </c>
      <c r="Z198" s="11">
        <f>IF(OR($S198="未発送",$S198="発送済",$S198="査定済",$S198="入金済"),1,0)</f>
        <v/>
      </c>
      <c r="AA198" s="11">
        <f>IF($U198="",0,1)</f>
        <v/>
      </c>
    </row>
    <row r="199">
      <c r="A199" s="8" t="n"/>
      <c r="B199" s="9" t="n"/>
      <c r="C199" s="10" t="n"/>
      <c r="D199" s="9" t="n"/>
      <c r="E199" s="9" t="n"/>
      <c r="F199" s="9" t="n"/>
      <c r="G199" s="4" t="n"/>
      <c r="H199" s="5" t="n"/>
      <c r="I199" s="4" t="n"/>
      <c r="J199" s="4" t="n"/>
      <c r="K199" s="4" t="n"/>
      <c r="L199" s="11">
        <f>IF($G199="","",IF($F199="",1,MAX(1,COUNTIF($F$6:$F$505,$F199)-COUNTIFS($F$6:$F$505,$F199,$S$6:$S$505,"見送り"))))</f>
        <v/>
      </c>
      <c r="M199" s="12">
        <f>IF($G199="","",IF($K199="",'設定'!$C$6,$K199)/$L199)</f>
        <v/>
      </c>
      <c r="N199" s="12">
        <f>IF(OR($G199="",$I199=""),"",$I199-$G199-$M199-$J199)</f>
        <v/>
      </c>
      <c r="O199" s="13">
        <f>IF($N199="","",IF($G199&gt;0,$N199/$G199,0))</f>
        <v/>
      </c>
      <c r="P199" s="12">
        <f>IF($G199="","",$G199*$H199)</f>
        <v/>
      </c>
      <c r="Q199" s="12">
        <f>IF($N199="","",$N199-$I199*'設定'!$C$7)</f>
        <v/>
      </c>
      <c r="R199" s="14">
        <f>IF($N199="","",IF(AND($N199&gt;='設定'!$C$4,$O199&gt;='設定'!$C$5),IF($Q199&gt;=0,"仕入れOK","OK・下落に弱い"),"見送り"))</f>
        <v/>
      </c>
      <c r="S199" s="9" t="n"/>
      <c r="T199" s="8" t="n"/>
      <c r="U199" s="4" t="n"/>
      <c r="V199" s="8" t="n"/>
      <c r="W199" s="12">
        <f>IF(OR($G199="",$U199=""),"",$U199-$G199-$M199-$J199)</f>
        <v/>
      </c>
      <c r="X199" s="12">
        <f>IF(OR($I199="",$U199=""),"",$I199-$U199)</f>
        <v/>
      </c>
      <c r="Y199" s="11">
        <f>IF(OR($T199="",$V199=""),"",$V199-$T199)</f>
        <v/>
      </c>
      <c r="Z199" s="11">
        <f>IF(OR($S199="未発送",$S199="発送済",$S199="査定済",$S199="入金済"),1,0)</f>
        <v/>
      </c>
      <c r="AA199" s="11">
        <f>IF($U199="",0,1)</f>
        <v/>
      </c>
    </row>
    <row r="200">
      <c r="A200" s="8" t="n"/>
      <c r="B200" s="9" t="n"/>
      <c r="C200" s="10" t="n"/>
      <c r="D200" s="9" t="n"/>
      <c r="E200" s="9" t="n"/>
      <c r="F200" s="9" t="n"/>
      <c r="G200" s="4" t="n"/>
      <c r="H200" s="5" t="n"/>
      <c r="I200" s="4" t="n"/>
      <c r="J200" s="4" t="n"/>
      <c r="K200" s="4" t="n"/>
      <c r="L200" s="11">
        <f>IF($G200="","",IF($F200="",1,MAX(1,COUNTIF($F$6:$F$505,$F200)-COUNTIFS($F$6:$F$505,$F200,$S$6:$S$505,"見送り"))))</f>
        <v/>
      </c>
      <c r="M200" s="12">
        <f>IF($G200="","",IF($K200="",'設定'!$C$6,$K200)/$L200)</f>
        <v/>
      </c>
      <c r="N200" s="12">
        <f>IF(OR($G200="",$I200=""),"",$I200-$G200-$M200-$J200)</f>
        <v/>
      </c>
      <c r="O200" s="13">
        <f>IF($N200="","",IF($G200&gt;0,$N200/$G200,0))</f>
        <v/>
      </c>
      <c r="P200" s="12">
        <f>IF($G200="","",$G200*$H200)</f>
        <v/>
      </c>
      <c r="Q200" s="12">
        <f>IF($N200="","",$N200-$I200*'設定'!$C$7)</f>
        <v/>
      </c>
      <c r="R200" s="14">
        <f>IF($N200="","",IF(AND($N200&gt;='設定'!$C$4,$O200&gt;='設定'!$C$5),IF($Q200&gt;=0,"仕入れOK","OK・下落に弱い"),"見送り"))</f>
        <v/>
      </c>
      <c r="S200" s="9" t="n"/>
      <c r="T200" s="8" t="n"/>
      <c r="U200" s="4" t="n"/>
      <c r="V200" s="8" t="n"/>
      <c r="W200" s="12">
        <f>IF(OR($G200="",$U200=""),"",$U200-$G200-$M200-$J200)</f>
        <v/>
      </c>
      <c r="X200" s="12">
        <f>IF(OR($I200="",$U200=""),"",$I200-$U200)</f>
        <v/>
      </c>
      <c r="Y200" s="11">
        <f>IF(OR($T200="",$V200=""),"",$V200-$T200)</f>
        <v/>
      </c>
      <c r="Z200" s="11">
        <f>IF(OR($S200="未発送",$S200="発送済",$S200="査定済",$S200="入金済"),1,0)</f>
        <v/>
      </c>
      <c r="AA200" s="11">
        <f>IF($U200="",0,1)</f>
        <v/>
      </c>
    </row>
    <row r="201">
      <c r="A201" s="8" t="n"/>
      <c r="B201" s="9" t="n"/>
      <c r="C201" s="10" t="n"/>
      <c r="D201" s="9" t="n"/>
      <c r="E201" s="9" t="n"/>
      <c r="F201" s="9" t="n"/>
      <c r="G201" s="4" t="n"/>
      <c r="H201" s="5" t="n"/>
      <c r="I201" s="4" t="n"/>
      <c r="J201" s="4" t="n"/>
      <c r="K201" s="4" t="n"/>
      <c r="L201" s="11">
        <f>IF($G201="","",IF($F201="",1,MAX(1,COUNTIF($F$6:$F$505,$F201)-COUNTIFS($F$6:$F$505,$F201,$S$6:$S$505,"見送り"))))</f>
        <v/>
      </c>
      <c r="M201" s="12">
        <f>IF($G201="","",IF($K201="",'設定'!$C$6,$K201)/$L201)</f>
        <v/>
      </c>
      <c r="N201" s="12">
        <f>IF(OR($G201="",$I201=""),"",$I201-$G201-$M201-$J201)</f>
        <v/>
      </c>
      <c r="O201" s="13">
        <f>IF($N201="","",IF($G201&gt;0,$N201/$G201,0))</f>
        <v/>
      </c>
      <c r="P201" s="12">
        <f>IF($G201="","",$G201*$H201)</f>
        <v/>
      </c>
      <c r="Q201" s="12">
        <f>IF($N201="","",$N201-$I201*'設定'!$C$7)</f>
        <v/>
      </c>
      <c r="R201" s="14">
        <f>IF($N201="","",IF(AND($N201&gt;='設定'!$C$4,$O201&gt;='設定'!$C$5),IF($Q201&gt;=0,"仕入れOK","OK・下落に弱い"),"見送り"))</f>
        <v/>
      </c>
      <c r="S201" s="9" t="n"/>
      <c r="T201" s="8" t="n"/>
      <c r="U201" s="4" t="n"/>
      <c r="V201" s="8" t="n"/>
      <c r="W201" s="12">
        <f>IF(OR($G201="",$U201=""),"",$U201-$G201-$M201-$J201)</f>
        <v/>
      </c>
      <c r="X201" s="12">
        <f>IF(OR($I201="",$U201=""),"",$I201-$U201)</f>
        <v/>
      </c>
      <c r="Y201" s="11">
        <f>IF(OR($T201="",$V201=""),"",$V201-$T201)</f>
        <v/>
      </c>
      <c r="Z201" s="11">
        <f>IF(OR($S201="未発送",$S201="発送済",$S201="査定済",$S201="入金済"),1,0)</f>
        <v/>
      </c>
      <c r="AA201" s="11">
        <f>IF($U201="",0,1)</f>
        <v/>
      </c>
    </row>
    <row r="202">
      <c r="A202" s="8" t="n"/>
      <c r="B202" s="9" t="n"/>
      <c r="C202" s="10" t="n"/>
      <c r="D202" s="9" t="n"/>
      <c r="E202" s="9" t="n"/>
      <c r="F202" s="9" t="n"/>
      <c r="G202" s="4" t="n"/>
      <c r="H202" s="5" t="n"/>
      <c r="I202" s="4" t="n"/>
      <c r="J202" s="4" t="n"/>
      <c r="K202" s="4" t="n"/>
      <c r="L202" s="11">
        <f>IF($G202="","",IF($F202="",1,MAX(1,COUNTIF($F$6:$F$505,$F202)-COUNTIFS($F$6:$F$505,$F202,$S$6:$S$505,"見送り"))))</f>
        <v/>
      </c>
      <c r="M202" s="12">
        <f>IF($G202="","",IF($K202="",'設定'!$C$6,$K202)/$L202)</f>
        <v/>
      </c>
      <c r="N202" s="12">
        <f>IF(OR($G202="",$I202=""),"",$I202-$G202-$M202-$J202)</f>
        <v/>
      </c>
      <c r="O202" s="13">
        <f>IF($N202="","",IF($G202&gt;0,$N202/$G202,0))</f>
        <v/>
      </c>
      <c r="P202" s="12">
        <f>IF($G202="","",$G202*$H202)</f>
        <v/>
      </c>
      <c r="Q202" s="12">
        <f>IF($N202="","",$N202-$I202*'設定'!$C$7)</f>
        <v/>
      </c>
      <c r="R202" s="14">
        <f>IF($N202="","",IF(AND($N202&gt;='設定'!$C$4,$O202&gt;='設定'!$C$5),IF($Q202&gt;=0,"仕入れOK","OK・下落に弱い"),"見送り"))</f>
        <v/>
      </c>
      <c r="S202" s="9" t="n"/>
      <c r="T202" s="8" t="n"/>
      <c r="U202" s="4" t="n"/>
      <c r="V202" s="8" t="n"/>
      <c r="W202" s="12">
        <f>IF(OR($G202="",$U202=""),"",$U202-$G202-$M202-$J202)</f>
        <v/>
      </c>
      <c r="X202" s="12">
        <f>IF(OR($I202="",$U202=""),"",$I202-$U202)</f>
        <v/>
      </c>
      <c r="Y202" s="11">
        <f>IF(OR($T202="",$V202=""),"",$V202-$T202)</f>
        <v/>
      </c>
      <c r="Z202" s="11">
        <f>IF(OR($S202="未発送",$S202="発送済",$S202="査定済",$S202="入金済"),1,0)</f>
        <v/>
      </c>
      <c r="AA202" s="11">
        <f>IF($U202="",0,1)</f>
        <v/>
      </c>
    </row>
    <row r="203">
      <c r="A203" s="8" t="n"/>
      <c r="B203" s="9" t="n"/>
      <c r="C203" s="10" t="n"/>
      <c r="D203" s="9" t="n"/>
      <c r="E203" s="9" t="n"/>
      <c r="F203" s="9" t="n"/>
      <c r="G203" s="4" t="n"/>
      <c r="H203" s="5" t="n"/>
      <c r="I203" s="4" t="n"/>
      <c r="J203" s="4" t="n"/>
      <c r="K203" s="4" t="n"/>
      <c r="L203" s="11">
        <f>IF($G203="","",IF($F203="",1,MAX(1,COUNTIF($F$6:$F$505,$F203)-COUNTIFS($F$6:$F$505,$F203,$S$6:$S$505,"見送り"))))</f>
        <v/>
      </c>
      <c r="M203" s="12">
        <f>IF($G203="","",IF($K203="",'設定'!$C$6,$K203)/$L203)</f>
        <v/>
      </c>
      <c r="N203" s="12">
        <f>IF(OR($G203="",$I203=""),"",$I203-$G203-$M203-$J203)</f>
        <v/>
      </c>
      <c r="O203" s="13">
        <f>IF($N203="","",IF($G203&gt;0,$N203/$G203,0))</f>
        <v/>
      </c>
      <c r="P203" s="12">
        <f>IF($G203="","",$G203*$H203)</f>
        <v/>
      </c>
      <c r="Q203" s="12">
        <f>IF($N203="","",$N203-$I203*'設定'!$C$7)</f>
        <v/>
      </c>
      <c r="R203" s="14">
        <f>IF($N203="","",IF(AND($N203&gt;='設定'!$C$4,$O203&gt;='設定'!$C$5),IF($Q203&gt;=0,"仕入れOK","OK・下落に弱い"),"見送り"))</f>
        <v/>
      </c>
      <c r="S203" s="9" t="n"/>
      <c r="T203" s="8" t="n"/>
      <c r="U203" s="4" t="n"/>
      <c r="V203" s="8" t="n"/>
      <c r="W203" s="12">
        <f>IF(OR($G203="",$U203=""),"",$U203-$G203-$M203-$J203)</f>
        <v/>
      </c>
      <c r="X203" s="12">
        <f>IF(OR($I203="",$U203=""),"",$I203-$U203)</f>
        <v/>
      </c>
      <c r="Y203" s="11">
        <f>IF(OR($T203="",$V203=""),"",$V203-$T203)</f>
        <v/>
      </c>
      <c r="Z203" s="11">
        <f>IF(OR($S203="未発送",$S203="発送済",$S203="査定済",$S203="入金済"),1,0)</f>
        <v/>
      </c>
      <c r="AA203" s="11">
        <f>IF($U203="",0,1)</f>
        <v/>
      </c>
    </row>
    <row r="204">
      <c r="A204" s="8" t="n"/>
      <c r="B204" s="9" t="n"/>
      <c r="C204" s="10" t="n"/>
      <c r="D204" s="9" t="n"/>
      <c r="E204" s="9" t="n"/>
      <c r="F204" s="9" t="n"/>
      <c r="G204" s="4" t="n"/>
      <c r="H204" s="5" t="n"/>
      <c r="I204" s="4" t="n"/>
      <c r="J204" s="4" t="n"/>
      <c r="K204" s="4" t="n"/>
      <c r="L204" s="11">
        <f>IF($G204="","",IF($F204="",1,MAX(1,COUNTIF($F$6:$F$505,$F204)-COUNTIFS($F$6:$F$505,$F204,$S$6:$S$505,"見送り"))))</f>
        <v/>
      </c>
      <c r="M204" s="12">
        <f>IF($G204="","",IF($K204="",'設定'!$C$6,$K204)/$L204)</f>
        <v/>
      </c>
      <c r="N204" s="12">
        <f>IF(OR($G204="",$I204=""),"",$I204-$G204-$M204-$J204)</f>
        <v/>
      </c>
      <c r="O204" s="13">
        <f>IF($N204="","",IF($G204&gt;0,$N204/$G204,0))</f>
        <v/>
      </c>
      <c r="P204" s="12">
        <f>IF($G204="","",$G204*$H204)</f>
        <v/>
      </c>
      <c r="Q204" s="12">
        <f>IF($N204="","",$N204-$I204*'設定'!$C$7)</f>
        <v/>
      </c>
      <c r="R204" s="14">
        <f>IF($N204="","",IF(AND($N204&gt;='設定'!$C$4,$O204&gt;='設定'!$C$5),IF($Q204&gt;=0,"仕入れOK","OK・下落に弱い"),"見送り"))</f>
        <v/>
      </c>
      <c r="S204" s="9" t="n"/>
      <c r="T204" s="8" t="n"/>
      <c r="U204" s="4" t="n"/>
      <c r="V204" s="8" t="n"/>
      <c r="W204" s="12">
        <f>IF(OR($G204="",$U204=""),"",$U204-$G204-$M204-$J204)</f>
        <v/>
      </c>
      <c r="X204" s="12">
        <f>IF(OR($I204="",$U204=""),"",$I204-$U204)</f>
        <v/>
      </c>
      <c r="Y204" s="11">
        <f>IF(OR($T204="",$V204=""),"",$V204-$T204)</f>
        <v/>
      </c>
      <c r="Z204" s="11">
        <f>IF(OR($S204="未発送",$S204="発送済",$S204="査定済",$S204="入金済"),1,0)</f>
        <v/>
      </c>
      <c r="AA204" s="11">
        <f>IF($U204="",0,1)</f>
        <v/>
      </c>
    </row>
    <row r="205">
      <c r="A205" s="8" t="n"/>
      <c r="B205" s="9" t="n"/>
      <c r="C205" s="10" t="n"/>
      <c r="D205" s="9" t="n"/>
      <c r="E205" s="9" t="n"/>
      <c r="F205" s="9" t="n"/>
      <c r="G205" s="4" t="n"/>
      <c r="H205" s="5" t="n"/>
      <c r="I205" s="4" t="n"/>
      <c r="J205" s="4" t="n"/>
      <c r="K205" s="4" t="n"/>
      <c r="L205" s="11">
        <f>IF($G205="","",IF($F205="",1,MAX(1,COUNTIF($F$6:$F$505,$F205)-COUNTIFS($F$6:$F$505,$F205,$S$6:$S$505,"見送り"))))</f>
        <v/>
      </c>
      <c r="M205" s="12">
        <f>IF($G205="","",IF($K205="",'設定'!$C$6,$K205)/$L205)</f>
        <v/>
      </c>
      <c r="N205" s="12">
        <f>IF(OR($G205="",$I205=""),"",$I205-$G205-$M205-$J205)</f>
        <v/>
      </c>
      <c r="O205" s="13">
        <f>IF($N205="","",IF($G205&gt;0,$N205/$G205,0))</f>
        <v/>
      </c>
      <c r="P205" s="12">
        <f>IF($G205="","",$G205*$H205)</f>
        <v/>
      </c>
      <c r="Q205" s="12">
        <f>IF($N205="","",$N205-$I205*'設定'!$C$7)</f>
        <v/>
      </c>
      <c r="R205" s="14">
        <f>IF($N205="","",IF(AND($N205&gt;='設定'!$C$4,$O205&gt;='設定'!$C$5),IF($Q205&gt;=0,"仕入れOK","OK・下落に弱い"),"見送り"))</f>
        <v/>
      </c>
      <c r="S205" s="9" t="n"/>
      <c r="T205" s="8" t="n"/>
      <c r="U205" s="4" t="n"/>
      <c r="V205" s="8" t="n"/>
      <c r="W205" s="12">
        <f>IF(OR($G205="",$U205=""),"",$U205-$G205-$M205-$J205)</f>
        <v/>
      </c>
      <c r="X205" s="12">
        <f>IF(OR($I205="",$U205=""),"",$I205-$U205)</f>
        <v/>
      </c>
      <c r="Y205" s="11">
        <f>IF(OR($T205="",$V205=""),"",$V205-$T205)</f>
        <v/>
      </c>
      <c r="Z205" s="11">
        <f>IF(OR($S205="未発送",$S205="発送済",$S205="査定済",$S205="入金済"),1,0)</f>
        <v/>
      </c>
      <c r="AA205" s="11">
        <f>IF($U205="",0,1)</f>
        <v/>
      </c>
    </row>
    <row r="206">
      <c r="A206" s="8" t="n"/>
      <c r="B206" s="9" t="n"/>
      <c r="C206" s="10" t="n"/>
      <c r="D206" s="9" t="n"/>
      <c r="E206" s="9" t="n"/>
      <c r="F206" s="9" t="n"/>
      <c r="G206" s="4" t="n"/>
      <c r="H206" s="5" t="n"/>
      <c r="I206" s="4" t="n"/>
      <c r="J206" s="4" t="n"/>
      <c r="K206" s="4" t="n"/>
      <c r="L206" s="11">
        <f>IF($G206="","",IF($F206="",1,MAX(1,COUNTIF($F$6:$F$505,$F206)-COUNTIFS($F$6:$F$505,$F206,$S$6:$S$505,"見送り"))))</f>
        <v/>
      </c>
      <c r="M206" s="12">
        <f>IF($G206="","",IF($K206="",'設定'!$C$6,$K206)/$L206)</f>
        <v/>
      </c>
      <c r="N206" s="12">
        <f>IF(OR($G206="",$I206=""),"",$I206-$G206-$M206-$J206)</f>
        <v/>
      </c>
      <c r="O206" s="13">
        <f>IF($N206="","",IF($G206&gt;0,$N206/$G206,0))</f>
        <v/>
      </c>
      <c r="P206" s="12">
        <f>IF($G206="","",$G206*$H206)</f>
        <v/>
      </c>
      <c r="Q206" s="12">
        <f>IF($N206="","",$N206-$I206*'設定'!$C$7)</f>
        <v/>
      </c>
      <c r="R206" s="14">
        <f>IF($N206="","",IF(AND($N206&gt;='設定'!$C$4,$O206&gt;='設定'!$C$5),IF($Q206&gt;=0,"仕入れOK","OK・下落に弱い"),"見送り"))</f>
        <v/>
      </c>
      <c r="S206" s="9" t="n"/>
      <c r="T206" s="8" t="n"/>
      <c r="U206" s="4" t="n"/>
      <c r="V206" s="8" t="n"/>
      <c r="W206" s="12">
        <f>IF(OR($G206="",$U206=""),"",$U206-$G206-$M206-$J206)</f>
        <v/>
      </c>
      <c r="X206" s="12">
        <f>IF(OR($I206="",$U206=""),"",$I206-$U206)</f>
        <v/>
      </c>
      <c r="Y206" s="11">
        <f>IF(OR($T206="",$V206=""),"",$V206-$T206)</f>
        <v/>
      </c>
      <c r="Z206" s="11">
        <f>IF(OR($S206="未発送",$S206="発送済",$S206="査定済",$S206="入金済"),1,0)</f>
        <v/>
      </c>
      <c r="AA206" s="11">
        <f>IF($U206="",0,1)</f>
        <v/>
      </c>
    </row>
    <row r="207">
      <c r="A207" s="8" t="n"/>
      <c r="B207" s="9" t="n"/>
      <c r="C207" s="10" t="n"/>
      <c r="D207" s="9" t="n"/>
      <c r="E207" s="9" t="n"/>
      <c r="F207" s="9" t="n"/>
      <c r="G207" s="4" t="n"/>
      <c r="H207" s="5" t="n"/>
      <c r="I207" s="4" t="n"/>
      <c r="J207" s="4" t="n"/>
      <c r="K207" s="4" t="n"/>
      <c r="L207" s="11">
        <f>IF($G207="","",IF($F207="",1,MAX(1,COUNTIF($F$6:$F$505,$F207)-COUNTIFS($F$6:$F$505,$F207,$S$6:$S$505,"見送り"))))</f>
        <v/>
      </c>
      <c r="M207" s="12">
        <f>IF($G207="","",IF($K207="",'設定'!$C$6,$K207)/$L207)</f>
        <v/>
      </c>
      <c r="N207" s="12">
        <f>IF(OR($G207="",$I207=""),"",$I207-$G207-$M207-$J207)</f>
        <v/>
      </c>
      <c r="O207" s="13">
        <f>IF($N207="","",IF($G207&gt;0,$N207/$G207,0))</f>
        <v/>
      </c>
      <c r="P207" s="12">
        <f>IF($G207="","",$G207*$H207)</f>
        <v/>
      </c>
      <c r="Q207" s="12">
        <f>IF($N207="","",$N207-$I207*'設定'!$C$7)</f>
        <v/>
      </c>
      <c r="R207" s="14">
        <f>IF($N207="","",IF(AND($N207&gt;='設定'!$C$4,$O207&gt;='設定'!$C$5),IF($Q207&gt;=0,"仕入れOK","OK・下落に弱い"),"見送り"))</f>
        <v/>
      </c>
      <c r="S207" s="9" t="n"/>
      <c r="T207" s="8" t="n"/>
      <c r="U207" s="4" t="n"/>
      <c r="V207" s="8" t="n"/>
      <c r="W207" s="12">
        <f>IF(OR($G207="",$U207=""),"",$U207-$G207-$M207-$J207)</f>
        <v/>
      </c>
      <c r="X207" s="12">
        <f>IF(OR($I207="",$U207=""),"",$I207-$U207)</f>
        <v/>
      </c>
      <c r="Y207" s="11">
        <f>IF(OR($T207="",$V207=""),"",$V207-$T207)</f>
        <v/>
      </c>
      <c r="Z207" s="11">
        <f>IF(OR($S207="未発送",$S207="発送済",$S207="査定済",$S207="入金済"),1,0)</f>
        <v/>
      </c>
      <c r="AA207" s="11">
        <f>IF($U207="",0,1)</f>
        <v/>
      </c>
    </row>
    <row r="208">
      <c r="A208" s="8" t="n"/>
      <c r="B208" s="9" t="n"/>
      <c r="C208" s="10" t="n"/>
      <c r="D208" s="9" t="n"/>
      <c r="E208" s="9" t="n"/>
      <c r="F208" s="9" t="n"/>
      <c r="G208" s="4" t="n"/>
      <c r="H208" s="5" t="n"/>
      <c r="I208" s="4" t="n"/>
      <c r="J208" s="4" t="n"/>
      <c r="K208" s="4" t="n"/>
      <c r="L208" s="11">
        <f>IF($G208="","",IF($F208="",1,MAX(1,COUNTIF($F$6:$F$505,$F208)-COUNTIFS($F$6:$F$505,$F208,$S$6:$S$505,"見送り"))))</f>
        <v/>
      </c>
      <c r="M208" s="12">
        <f>IF($G208="","",IF($K208="",'設定'!$C$6,$K208)/$L208)</f>
        <v/>
      </c>
      <c r="N208" s="12">
        <f>IF(OR($G208="",$I208=""),"",$I208-$G208-$M208-$J208)</f>
        <v/>
      </c>
      <c r="O208" s="13">
        <f>IF($N208="","",IF($G208&gt;0,$N208/$G208,0))</f>
        <v/>
      </c>
      <c r="P208" s="12">
        <f>IF($G208="","",$G208*$H208)</f>
        <v/>
      </c>
      <c r="Q208" s="12">
        <f>IF($N208="","",$N208-$I208*'設定'!$C$7)</f>
        <v/>
      </c>
      <c r="R208" s="14">
        <f>IF($N208="","",IF(AND($N208&gt;='設定'!$C$4,$O208&gt;='設定'!$C$5),IF($Q208&gt;=0,"仕入れOK","OK・下落に弱い"),"見送り"))</f>
        <v/>
      </c>
      <c r="S208" s="9" t="n"/>
      <c r="T208" s="8" t="n"/>
      <c r="U208" s="4" t="n"/>
      <c r="V208" s="8" t="n"/>
      <c r="W208" s="12">
        <f>IF(OR($G208="",$U208=""),"",$U208-$G208-$M208-$J208)</f>
        <v/>
      </c>
      <c r="X208" s="12">
        <f>IF(OR($I208="",$U208=""),"",$I208-$U208)</f>
        <v/>
      </c>
      <c r="Y208" s="11">
        <f>IF(OR($T208="",$V208=""),"",$V208-$T208)</f>
        <v/>
      </c>
      <c r="Z208" s="11">
        <f>IF(OR($S208="未発送",$S208="発送済",$S208="査定済",$S208="入金済"),1,0)</f>
        <v/>
      </c>
      <c r="AA208" s="11">
        <f>IF($U208="",0,1)</f>
        <v/>
      </c>
    </row>
    <row r="209">
      <c r="A209" s="8" t="n"/>
      <c r="B209" s="9" t="n"/>
      <c r="C209" s="10" t="n"/>
      <c r="D209" s="9" t="n"/>
      <c r="E209" s="9" t="n"/>
      <c r="F209" s="9" t="n"/>
      <c r="G209" s="4" t="n"/>
      <c r="H209" s="5" t="n"/>
      <c r="I209" s="4" t="n"/>
      <c r="J209" s="4" t="n"/>
      <c r="K209" s="4" t="n"/>
      <c r="L209" s="11">
        <f>IF($G209="","",IF($F209="",1,MAX(1,COUNTIF($F$6:$F$505,$F209)-COUNTIFS($F$6:$F$505,$F209,$S$6:$S$505,"見送り"))))</f>
        <v/>
      </c>
      <c r="M209" s="12">
        <f>IF($G209="","",IF($K209="",'設定'!$C$6,$K209)/$L209)</f>
        <v/>
      </c>
      <c r="N209" s="12">
        <f>IF(OR($G209="",$I209=""),"",$I209-$G209-$M209-$J209)</f>
        <v/>
      </c>
      <c r="O209" s="13">
        <f>IF($N209="","",IF($G209&gt;0,$N209/$G209,0))</f>
        <v/>
      </c>
      <c r="P209" s="12">
        <f>IF($G209="","",$G209*$H209)</f>
        <v/>
      </c>
      <c r="Q209" s="12">
        <f>IF($N209="","",$N209-$I209*'設定'!$C$7)</f>
        <v/>
      </c>
      <c r="R209" s="14">
        <f>IF($N209="","",IF(AND($N209&gt;='設定'!$C$4,$O209&gt;='設定'!$C$5),IF($Q209&gt;=0,"仕入れOK","OK・下落に弱い"),"見送り"))</f>
        <v/>
      </c>
      <c r="S209" s="9" t="n"/>
      <c r="T209" s="8" t="n"/>
      <c r="U209" s="4" t="n"/>
      <c r="V209" s="8" t="n"/>
      <c r="W209" s="12">
        <f>IF(OR($G209="",$U209=""),"",$U209-$G209-$M209-$J209)</f>
        <v/>
      </c>
      <c r="X209" s="12">
        <f>IF(OR($I209="",$U209=""),"",$I209-$U209)</f>
        <v/>
      </c>
      <c r="Y209" s="11">
        <f>IF(OR($T209="",$V209=""),"",$V209-$T209)</f>
        <v/>
      </c>
      <c r="Z209" s="11">
        <f>IF(OR($S209="未発送",$S209="発送済",$S209="査定済",$S209="入金済"),1,0)</f>
        <v/>
      </c>
      <c r="AA209" s="11">
        <f>IF($U209="",0,1)</f>
        <v/>
      </c>
    </row>
    <row r="210">
      <c r="A210" s="8" t="n"/>
      <c r="B210" s="9" t="n"/>
      <c r="C210" s="10" t="n"/>
      <c r="D210" s="9" t="n"/>
      <c r="E210" s="9" t="n"/>
      <c r="F210" s="9" t="n"/>
      <c r="G210" s="4" t="n"/>
      <c r="H210" s="5" t="n"/>
      <c r="I210" s="4" t="n"/>
      <c r="J210" s="4" t="n"/>
      <c r="K210" s="4" t="n"/>
      <c r="L210" s="11">
        <f>IF($G210="","",IF($F210="",1,MAX(1,COUNTIF($F$6:$F$505,$F210)-COUNTIFS($F$6:$F$505,$F210,$S$6:$S$505,"見送り"))))</f>
        <v/>
      </c>
      <c r="M210" s="12">
        <f>IF($G210="","",IF($K210="",'設定'!$C$6,$K210)/$L210)</f>
        <v/>
      </c>
      <c r="N210" s="12">
        <f>IF(OR($G210="",$I210=""),"",$I210-$G210-$M210-$J210)</f>
        <v/>
      </c>
      <c r="O210" s="13">
        <f>IF($N210="","",IF($G210&gt;0,$N210/$G210,0))</f>
        <v/>
      </c>
      <c r="P210" s="12">
        <f>IF($G210="","",$G210*$H210)</f>
        <v/>
      </c>
      <c r="Q210" s="12">
        <f>IF($N210="","",$N210-$I210*'設定'!$C$7)</f>
        <v/>
      </c>
      <c r="R210" s="14">
        <f>IF($N210="","",IF(AND($N210&gt;='設定'!$C$4,$O210&gt;='設定'!$C$5),IF($Q210&gt;=0,"仕入れOK","OK・下落に弱い"),"見送り"))</f>
        <v/>
      </c>
      <c r="S210" s="9" t="n"/>
      <c r="T210" s="8" t="n"/>
      <c r="U210" s="4" t="n"/>
      <c r="V210" s="8" t="n"/>
      <c r="W210" s="12">
        <f>IF(OR($G210="",$U210=""),"",$U210-$G210-$M210-$J210)</f>
        <v/>
      </c>
      <c r="X210" s="12">
        <f>IF(OR($I210="",$U210=""),"",$I210-$U210)</f>
        <v/>
      </c>
      <c r="Y210" s="11">
        <f>IF(OR($T210="",$V210=""),"",$V210-$T210)</f>
        <v/>
      </c>
      <c r="Z210" s="11">
        <f>IF(OR($S210="未発送",$S210="発送済",$S210="査定済",$S210="入金済"),1,0)</f>
        <v/>
      </c>
      <c r="AA210" s="11">
        <f>IF($U210="",0,1)</f>
        <v/>
      </c>
    </row>
    <row r="211">
      <c r="A211" s="8" t="n"/>
      <c r="B211" s="9" t="n"/>
      <c r="C211" s="10" t="n"/>
      <c r="D211" s="9" t="n"/>
      <c r="E211" s="9" t="n"/>
      <c r="F211" s="9" t="n"/>
      <c r="G211" s="4" t="n"/>
      <c r="H211" s="5" t="n"/>
      <c r="I211" s="4" t="n"/>
      <c r="J211" s="4" t="n"/>
      <c r="K211" s="4" t="n"/>
      <c r="L211" s="11">
        <f>IF($G211="","",IF($F211="",1,MAX(1,COUNTIF($F$6:$F$505,$F211)-COUNTIFS($F$6:$F$505,$F211,$S$6:$S$505,"見送り"))))</f>
        <v/>
      </c>
      <c r="M211" s="12">
        <f>IF($G211="","",IF($K211="",'設定'!$C$6,$K211)/$L211)</f>
        <v/>
      </c>
      <c r="N211" s="12">
        <f>IF(OR($G211="",$I211=""),"",$I211-$G211-$M211-$J211)</f>
        <v/>
      </c>
      <c r="O211" s="13">
        <f>IF($N211="","",IF($G211&gt;0,$N211/$G211,0))</f>
        <v/>
      </c>
      <c r="P211" s="12">
        <f>IF($G211="","",$G211*$H211)</f>
        <v/>
      </c>
      <c r="Q211" s="12">
        <f>IF($N211="","",$N211-$I211*'設定'!$C$7)</f>
        <v/>
      </c>
      <c r="R211" s="14">
        <f>IF($N211="","",IF(AND($N211&gt;='設定'!$C$4,$O211&gt;='設定'!$C$5),IF($Q211&gt;=0,"仕入れOK","OK・下落に弱い"),"見送り"))</f>
        <v/>
      </c>
      <c r="S211" s="9" t="n"/>
      <c r="T211" s="8" t="n"/>
      <c r="U211" s="4" t="n"/>
      <c r="V211" s="8" t="n"/>
      <c r="W211" s="12">
        <f>IF(OR($G211="",$U211=""),"",$U211-$G211-$M211-$J211)</f>
        <v/>
      </c>
      <c r="X211" s="12">
        <f>IF(OR($I211="",$U211=""),"",$I211-$U211)</f>
        <v/>
      </c>
      <c r="Y211" s="11">
        <f>IF(OR($T211="",$V211=""),"",$V211-$T211)</f>
        <v/>
      </c>
      <c r="Z211" s="11">
        <f>IF(OR($S211="未発送",$S211="発送済",$S211="査定済",$S211="入金済"),1,0)</f>
        <v/>
      </c>
      <c r="AA211" s="11">
        <f>IF($U211="",0,1)</f>
        <v/>
      </c>
    </row>
    <row r="212">
      <c r="A212" s="8" t="n"/>
      <c r="B212" s="9" t="n"/>
      <c r="C212" s="10" t="n"/>
      <c r="D212" s="9" t="n"/>
      <c r="E212" s="9" t="n"/>
      <c r="F212" s="9" t="n"/>
      <c r="G212" s="4" t="n"/>
      <c r="H212" s="5" t="n"/>
      <c r="I212" s="4" t="n"/>
      <c r="J212" s="4" t="n"/>
      <c r="K212" s="4" t="n"/>
      <c r="L212" s="11">
        <f>IF($G212="","",IF($F212="",1,MAX(1,COUNTIF($F$6:$F$505,$F212)-COUNTIFS($F$6:$F$505,$F212,$S$6:$S$505,"見送り"))))</f>
        <v/>
      </c>
      <c r="M212" s="12">
        <f>IF($G212="","",IF($K212="",'設定'!$C$6,$K212)/$L212)</f>
        <v/>
      </c>
      <c r="N212" s="12">
        <f>IF(OR($G212="",$I212=""),"",$I212-$G212-$M212-$J212)</f>
        <v/>
      </c>
      <c r="O212" s="13">
        <f>IF($N212="","",IF($G212&gt;0,$N212/$G212,0))</f>
        <v/>
      </c>
      <c r="P212" s="12">
        <f>IF($G212="","",$G212*$H212)</f>
        <v/>
      </c>
      <c r="Q212" s="12">
        <f>IF($N212="","",$N212-$I212*'設定'!$C$7)</f>
        <v/>
      </c>
      <c r="R212" s="14">
        <f>IF($N212="","",IF(AND($N212&gt;='設定'!$C$4,$O212&gt;='設定'!$C$5),IF($Q212&gt;=0,"仕入れOK","OK・下落に弱い"),"見送り"))</f>
        <v/>
      </c>
      <c r="S212" s="9" t="n"/>
      <c r="T212" s="8" t="n"/>
      <c r="U212" s="4" t="n"/>
      <c r="V212" s="8" t="n"/>
      <c r="W212" s="12">
        <f>IF(OR($G212="",$U212=""),"",$U212-$G212-$M212-$J212)</f>
        <v/>
      </c>
      <c r="X212" s="12">
        <f>IF(OR($I212="",$U212=""),"",$I212-$U212)</f>
        <v/>
      </c>
      <c r="Y212" s="11">
        <f>IF(OR($T212="",$V212=""),"",$V212-$T212)</f>
        <v/>
      </c>
      <c r="Z212" s="11">
        <f>IF(OR($S212="未発送",$S212="発送済",$S212="査定済",$S212="入金済"),1,0)</f>
        <v/>
      </c>
      <c r="AA212" s="11">
        <f>IF($U212="",0,1)</f>
        <v/>
      </c>
    </row>
    <row r="213">
      <c r="A213" s="8" t="n"/>
      <c r="B213" s="9" t="n"/>
      <c r="C213" s="10" t="n"/>
      <c r="D213" s="9" t="n"/>
      <c r="E213" s="9" t="n"/>
      <c r="F213" s="9" t="n"/>
      <c r="G213" s="4" t="n"/>
      <c r="H213" s="5" t="n"/>
      <c r="I213" s="4" t="n"/>
      <c r="J213" s="4" t="n"/>
      <c r="K213" s="4" t="n"/>
      <c r="L213" s="11">
        <f>IF($G213="","",IF($F213="",1,MAX(1,COUNTIF($F$6:$F$505,$F213)-COUNTIFS($F$6:$F$505,$F213,$S$6:$S$505,"見送り"))))</f>
        <v/>
      </c>
      <c r="M213" s="12">
        <f>IF($G213="","",IF($K213="",'設定'!$C$6,$K213)/$L213)</f>
        <v/>
      </c>
      <c r="N213" s="12">
        <f>IF(OR($G213="",$I213=""),"",$I213-$G213-$M213-$J213)</f>
        <v/>
      </c>
      <c r="O213" s="13">
        <f>IF($N213="","",IF($G213&gt;0,$N213/$G213,0))</f>
        <v/>
      </c>
      <c r="P213" s="12">
        <f>IF($G213="","",$G213*$H213)</f>
        <v/>
      </c>
      <c r="Q213" s="12">
        <f>IF($N213="","",$N213-$I213*'設定'!$C$7)</f>
        <v/>
      </c>
      <c r="R213" s="14">
        <f>IF($N213="","",IF(AND($N213&gt;='設定'!$C$4,$O213&gt;='設定'!$C$5),IF($Q213&gt;=0,"仕入れOK","OK・下落に弱い"),"見送り"))</f>
        <v/>
      </c>
      <c r="S213" s="9" t="n"/>
      <c r="T213" s="8" t="n"/>
      <c r="U213" s="4" t="n"/>
      <c r="V213" s="8" t="n"/>
      <c r="W213" s="12">
        <f>IF(OR($G213="",$U213=""),"",$U213-$G213-$M213-$J213)</f>
        <v/>
      </c>
      <c r="X213" s="12">
        <f>IF(OR($I213="",$U213=""),"",$I213-$U213)</f>
        <v/>
      </c>
      <c r="Y213" s="11">
        <f>IF(OR($T213="",$V213=""),"",$V213-$T213)</f>
        <v/>
      </c>
      <c r="Z213" s="11">
        <f>IF(OR($S213="未発送",$S213="発送済",$S213="査定済",$S213="入金済"),1,0)</f>
        <v/>
      </c>
      <c r="AA213" s="11">
        <f>IF($U213="",0,1)</f>
        <v/>
      </c>
    </row>
    <row r="214">
      <c r="A214" s="8" t="n"/>
      <c r="B214" s="9" t="n"/>
      <c r="C214" s="10" t="n"/>
      <c r="D214" s="9" t="n"/>
      <c r="E214" s="9" t="n"/>
      <c r="F214" s="9" t="n"/>
      <c r="G214" s="4" t="n"/>
      <c r="H214" s="5" t="n"/>
      <c r="I214" s="4" t="n"/>
      <c r="J214" s="4" t="n"/>
      <c r="K214" s="4" t="n"/>
      <c r="L214" s="11">
        <f>IF($G214="","",IF($F214="",1,MAX(1,COUNTIF($F$6:$F$505,$F214)-COUNTIFS($F$6:$F$505,$F214,$S$6:$S$505,"見送り"))))</f>
        <v/>
      </c>
      <c r="M214" s="12">
        <f>IF($G214="","",IF($K214="",'設定'!$C$6,$K214)/$L214)</f>
        <v/>
      </c>
      <c r="N214" s="12">
        <f>IF(OR($G214="",$I214=""),"",$I214-$G214-$M214-$J214)</f>
        <v/>
      </c>
      <c r="O214" s="13">
        <f>IF($N214="","",IF($G214&gt;0,$N214/$G214,0))</f>
        <v/>
      </c>
      <c r="P214" s="12">
        <f>IF($G214="","",$G214*$H214)</f>
        <v/>
      </c>
      <c r="Q214" s="12">
        <f>IF($N214="","",$N214-$I214*'設定'!$C$7)</f>
        <v/>
      </c>
      <c r="R214" s="14">
        <f>IF($N214="","",IF(AND($N214&gt;='設定'!$C$4,$O214&gt;='設定'!$C$5),IF($Q214&gt;=0,"仕入れOK","OK・下落に弱い"),"見送り"))</f>
        <v/>
      </c>
      <c r="S214" s="9" t="n"/>
      <c r="T214" s="8" t="n"/>
      <c r="U214" s="4" t="n"/>
      <c r="V214" s="8" t="n"/>
      <c r="W214" s="12">
        <f>IF(OR($G214="",$U214=""),"",$U214-$G214-$M214-$J214)</f>
        <v/>
      </c>
      <c r="X214" s="12">
        <f>IF(OR($I214="",$U214=""),"",$I214-$U214)</f>
        <v/>
      </c>
      <c r="Y214" s="11">
        <f>IF(OR($T214="",$V214=""),"",$V214-$T214)</f>
        <v/>
      </c>
      <c r="Z214" s="11">
        <f>IF(OR($S214="未発送",$S214="発送済",$S214="査定済",$S214="入金済"),1,0)</f>
        <v/>
      </c>
      <c r="AA214" s="11">
        <f>IF($U214="",0,1)</f>
        <v/>
      </c>
    </row>
    <row r="215">
      <c r="A215" s="8" t="n"/>
      <c r="B215" s="9" t="n"/>
      <c r="C215" s="10" t="n"/>
      <c r="D215" s="9" t="n"/>
      <c r="E215" s="9" t="n"/>
      <c r="F215" s="9" t="n"/>
      <c r="G215" s="4" t="n"/>
      <c r="H215" s="5" t="n"/>
      <c r="I215" s="4" t="n"/>
      <c r="J215" s="4" t="n"/>
      <c r="K215" s="4" t="n"/>
      <c r="L215" s="11">
        <f>IF($G215="","",IF($F215="",1,MAX(1,COUNTIF($F$6:$F$505,$F215)-COUNTIFS($F$6:$F$505,$F215,$S$6:$S$505,"見送り"))))</f>
        <v/>
      </c>
      <c r="M215" s="12">
        <f>IF($G215="","",IF($K215="",'設定'!$C$6,$K215)/$L215)</f>
        <v/>
      </c>
      <c r="N215" s="12">
        <f>IF(OR($G215="",$I215=""),"",$I215-$G215-$M215-$J215)</f>
        <v/>
      </c>
      <c r="O215" s="13">
        <f>IF($N215="","",IF($G215&gt;0,$N215/$G215,0))</f>
        <v/>
      </c>
      <c r="P215" s="12">
        <f>IF($G215="","",$G215*$H215)</f>
        <v/>
      </c>
      <c r="Q215" s="12">
        <f>IF($N215="","",$N215-$I215*'設定'!$C$7)</f>
        <v/>
      </c>
      <c r="R215" s="14">
        <f>IF($N215="","",IF(AND($N215&gt;='設定'!$C$4,$O215&gt;='設定'!$C$5),IF($Q215&gt;=0,"仕入れOK","OK・下落に弱い"),"見送り"))</f>
        <v/>
      </c>
      <c r="S215" s="9" t="n"/>
      <c r="T215" s="8" t="n"/>
      <c r="U215" s="4" t="n"/>
      <c r="V215" s="8" t="n"/>
      <c r="W215" s="12">
        <f>IF(OR($G215="",$U215=""),"",$U215-$G215-$M215-$J215)</f>
        <v/>
      </c>
      <c r="X215" s="12">
        <f>IF(OR($I215="",$U215=""),"",$I215-$U215)</f>
        <v/>
      </c>
      <c r="Y215" s="11">
        <f>IF(OR($T215="",$V215=""),"",$V215-$T215)</f>
        <v/>
      </c>
      <c r="Z215" s="11">
        <f>IF(OR($S215="未発送",$S215="発送済",$S215="査定済",$S215="入金済"),1,0)</f>
        <v/>
      </c>
      <c r="AA215" s="11">
        <f>IF($U215="",0,1)</f>
        <v/>
      </c>
    </row>
    <row r="216">
      <c r="A216" s="8" t="n"/>
      <c r="B216" s="9" t="n"/>
      <c r="C216" s="10" t="n"/>
      <c r="D216" s="9" t="n"/>
      <c r="E216" s="9" t="n"/>
      <c r="F216" s="9" t="n"/>
      <c r="G216" s="4" t="n"/>
      <c r="H216" s="5" t="n"/>
      <c r="I216" s="4" t="n"/>
      <c r="J216" s="4" t="n"/>
      <c r="K216" s="4" t="n"/>
      <c r="L216" s="11">
        <f>IF($G216="","",IF($F216="",1,MAX(1,COUNTIF($F$6:$F$505,$F216)-COUNTIFS($F$6:$F$505,$F216,$S$6:$S$505,"見送り"))))</f>
        <v/>
      </c>
      <c r="M216" s="12">
        <f>IF($G216="","",IF($K216="",'設定'!$C$6,$K216)/$L216)</f>
        <v/>
      </c>
      <c r="N216" s="12">
        <f>IF(OR($G216="",$I216=""),"",$I216-$G216-$M216-$J216)</f>
        <v/>
      </c>
      <c r="O216" s="13">
        <f>IF($N216="","",IF($G216&gt;0,$N216/$G216,0))</f>
        <v/>
      </c>
      <c r="P216" s="12">
        <f>IF($G216="","",$G216*$H216)</f>
        <v/>
      </c>
      <c r="Q216" s="12">
        <f>IF($N216="","",$N216-$I216*'設定'!$C$7)</f>
        <v/>
      </c>
      <c r="R216" s="14">
        <f>IF($N216="","",IF(AND($N216&gt;='設定'!$C$4,$O216&gt;='設定'!$C$5),IF($Q216&gt;=0,"仕入れOK","OK・下落に弱い"),"見送り"))</f>
        <v/>
      </c>
      <c r="S216" s="9" t="n"/>
      <c r="T216" s="8" t="n"/>
      <c r="U216" s="4" t="n"/>
      <c r="V216" s="8" t="n"/>
      <c r="W216" s="12">
        <f>IF(OR($G216="",$U216=""),"",$U216-$G216-$M216-$J216)</f>
        <v/>
      </c>
      <c r="X216" s="12">
        <f>IF(OR($I216="",$U216=""),"",$I216-$U216)</f>
        <v/>
      </c>
      <c r="Y216" s="11">
        <f>IF(OR($T216="",$V216=""),"",$V216-$T216)</f>
        <v/>
      </c>
      <c r="Z216" s="11">
        <f>IF(OR($S216="未発送",$S216="発送済",$S216="査定済",$S216="入金済"),1,0)</f>
        <v/>
      </c>
      <c r="AA216" s="11">
        <f>IF($U216="",0,1)</f>
        <v/>
      </c>
    </row>
    <row r="217">
      <c r="A217" s="8" t="n"/>
      <c r="B217" s="9" t="n"/>
      <c r="C217" s="10" t="n"/>
      <c r="D217" s="9" t="n"/>
      <c r="E217" s="9" t="n"/>
      <c r="F217" s="9" t="n"/>
      <c r="G217" s="4" t="n"/>
      <c r="H217" s="5" t="n"/>
      <c r="I217" s="4" t="n"/>
      <c r="J217" s="4" t="n"/>
      <c r="K217" s="4" t="n"/>
      <c r="L217" s="11">
        <f>IF($G217="","",IF($F217="",1,MAX(1,COUNTIF($F$6:$F$505,$F217)-COUNTIFS($F$6:$F$505,$F217,$S$6:$S$505,"見送り"))))</f>
        <v/>
      </c>
      <c r="M217" s="12">
        <f>IF($G217="","",IF($K217="",'設定'!$C$6,$K217)/$L217)</f>
        <v/>
      </c>
      <c r="N217" s="12">
        <f>IF(OR($G217="",$I217=""),"",$I217-$G217-$M217-$J217)</f>
        <v/>
      </c>
      <c r="O217" s="13">
        <f>IF($N217="","",IF($G217&gt;0,$N217/$G217,0))</f>
        <v/>
      </c>
      <c r="P217" s="12">
        <f>IF($G217="","",$G217*$H217)</f>
        <v/>
      </c>
      <c r="Q217" s="12">
        <f>IF($N217="","",$N217-$I217*'設定'!$C$7)</f>
        <v/>
      </c>
      <c r="R217" s="14">
        <f>IF($N217="","",IF(AND($N217&gt;='設定'!$C$4,$O217&gt;='設定'!$C$5),IF($Q217&gt;=0,"仕入れOK","OK・下落に弱い"),"見送り"))</f>
        <v/>
      </c>
      <c r="S217" s="9" t="n"/>
      <c r="T217" s="8" t="n"/>
      <c r="U217" s="4" t="n"/>
      <c r="V217" s="8" t="n"/>
      <c r="W217" s="12">
        <f>IF(OR($G217="",$U217=""),"",$U217-$G217-$M217-$J217)</f>
        <v/>
      </c>
      <c r="X217" s="12">
        <f>IF(OR($I217="",$U217=""),"",$I217-$U217)</f>
        <v/>
      </c>
      <c r="Y217" s="11">
        <f>IF(OR($T217="",$V217=""),"",$V217-$T217)</f>
        <v/>
      </c>
      <c r="Z217" s="11">
        <f>IF(OR($S217="未発送",$S217="発送済",$S217="査定済",$S217="入金済"),1,0)</f>
        <v/>
      </c>
      <c r="AA217" s="11">
        <f>IF($U217="",0,1)</f>
        <v/>
      </c>
    </row>
    <row r="218">
      <c r="A218" s="8" t="n"/>
      <c r="B218" s="9" t="n"/>
      <c r="C218" s="10" t="n"/>
      <c r="D218" s="9" t="n"/>
      <c r="E218" s="9" t="n"/>
      <c r="F218" s="9" t="n"/>
      <c r="G218" s="4" t="n"/>
      <c r="H218" s="5" t="n"/>
      <c r="I218" s="4" t="n"/>
      <c r="J218" s="4" t="n"/>
      <c r="K218" s="4" t="n"/>
      <c r="L218" s="11">
        <f>IF($G218="","",IF($F218="",1,MAX(1,COUNTIF($F$6:$F$505,$F218)-COUNTIFS($F$6:$F$505,$F218,$S$6:$S$505,"見送り"))))</f>
        <v/>
      </c>
      <c r="M218" s="12">
        <f>IF($G218="","",IF($K218="",'設定'!$C$6,$K218)/$L218)</f>
        <v/>
      </c>
      <c r="N218" s="12">
        <f>IF(OR($G218="",$I218=""),"",$I218-$G218-$M218-$J218)</f>
        <v/>
      </c>
      <c r="O218" s="13">
        <f>IF($N218="","",IF($G218&gt;0,$N218/$G218,0))</f>
        <v/>
      </c>
      <c r="P218" s="12">
        <f>IF($G218="","",$G218*$H218)</f>
        <v/>
      </c>
      <c r="Q218" s="12">
        <f>IF($N218="","",$N218-$I218*'設定'!$C$7)</f>
        <v/>
      </c>
      <c r="R218" s="14">
        <f>IF($N218="","",IF(AND($N218&gt;='設定'!$C$4,$O218&gt;='設定'!$C$5),IF($Q218&gt;=0,"仕入れOK","OK・下落に弱い"),"見送り"))</f>
        <v/>
      </c>
      <c r="S218" s="9" t="n"/>
      <c r="T218" s="8" t="n"/>
      <c r="U218" s="4" t="n"/>
      <c r="V218" s="8" t="n"/>
      <c r="W218" s="12">
        <f>IF(OR($G218="",$U218=""),"",$U218-$G218-$M218-$J218)</f>
        <v/>
      </c>
      <c r="X218" s="12">
        <f>IF(OR($I218="",$U218=""),"",$I218-$U218)</f>
        <v/>
      </c>
      <c r="Y218" s="11">
        <f>IF(OR($T218="",$V218=""),"",$V218-$T218)</f>
        <v/>
      </c>
      <c r="Z218" s="11">
        <f>IF(OR($S218="未発送",$S218="発送済",$S218="査定済",$S218="入金済"),1,0)</f>
        <v/>
      </c>
      <c r="AA218" s="11">
        <f>IF($U218="",0,1)</f>
        <v/>
      </c>
    </row>
    <row r="219">
      <c r="A219" s="8" t="n"/>
      <c r="B219" s="9" t="n"/>
      <c r="C219" s="10" t="n"/>
      <c r="D219" s="9" t="n"/>
      <c r="E219" s="9" t="n"/>
      <c r="F219" s="9" t="n"/>
      <c r="G219" s="4" t="n"/>
      <c r="H219" s="5" t="n"/>
      <c r="I219" s="4" t="n"/>
      <c r="J219" s="4" t="n"/>
      <c r="K219" s="4" t="n"/>
      <c r="L219" s="11">
        <f>IF($G219="","",IF($F219="",1,MAX(1,COUNTIF($F$6:$F$505,$F219)-COUNTIFS($F$6:$F$505,$F219,$S$6:$S$505,"見送り"))))</f>
        <v/>
      </c>
      <c r="M219" s="12">
        <f>IF($G219="","",IF($K219="",'設定'!$C$6,$K219)/$L219)</f>
        <v/>
      </c>
      <c r="N219" s="12">
        <f>IF(OR($G219="",$I219=""),"",$I219-$G219-$M219-$J219)</f>
        <v/>
      </c>
      <c r="O219" s="13">
        <f>IF($N219="","",IF($G219&gt;0,$N219/$G219,0))</f>
        <v/>
      </c>
      <c r="P219" s="12">
        <f>IF($G219="","",$G219*$H219)</f>
        <v/>
      </c>
      <c r="Q219" s="12">
        <f>IF($N219="","",$N219-$I219*'設定'!$C$7)</f>
        <v/>
      </c>
      <c r="R219" s="14">
        <f>IF($N219="","",IF(AND($N219&gt;='設定'!$C$4,$O219&gt;='設定'!$C$5),IF($Q219&gt;=0,"仕入れOK","OK・下落に弱い"),"見送り"))</f>
        <v/>
      </c>
      <c r="S219" s="9" t="n"/>
      <c r="T219" s="8" t="n"/>
      <c r="U219" s="4" t="n"/>
      <c r="V219" s="8" t="n"/>
      <c r="W219" s="12">
        <f>IF(OR($G219="",$U219=""),"",$U219-$G219-$M219-$J219)</f>
        <v/>
      </c>
      <c r="X219" s="12">
        <f>IF(OR($I219="",$U219=""),"",$I219-$U219)</f>
        <v/>
      </c>
      <c r="Y219" s="11">
        <f>IF(OR($T219="",$V219=""),"",$V219-$T219)</f>
        <v/>
      </c>
      <c r="Z219" s="11">
        <f>IF(OR($S219="未発送",$S219="発送済",$S219="査定済",$S219="入金済"),1,0)</f>
        <v/>
      </c>
      <c r="AA219" s="11">
        <f>IF($U219="",0,1)</f>
        <v/>
      </c>
    </row>
    <row r="220">
      <c r="A220" s="8" t="n"/>
      <c r="B220" s="9" t="n"/>
      <c r="C220" s="10" t="n"/>
      <c r="D220" s="9" t="n"/>
      <c r="E220" s="9" t="n"/>
      <c r="F220" s="9" t="n"/>
      <c r="G220" s="4" t="n"/>
      <c r="H220" s="5" t="n"/>
      <c r="I220" s="4" t="n"/>
      <c r="J220" s="4" t="n"/>
      <c r="K220" s="4" t="n"/>
      <c r="L220" s="11">
        <f>IF($G220="","",IF($F220="",1,MAX(1,COUNTIF($F$6:$F$505,$F220)-COUNTIFS($F$6:$F$505,$F220,$S$6:$S$505,"見送り"))))</f>
        <v/>
      </c>
      <c r="M220" s="12">
        <f>IF($G220="","",IF($K220="",'設定'!$C$6,$K220)/$L220)</f>
        <v/>
      </c>
      <c r="N220" s="12">
        <f>IF(OR($G220="",$I220=""),"",$I220-$G220-$M220-$J220)</f>
        <v/>
      </c>
      <c r="O220" s="13">
        <f>IF($N220="","",IF($G220&gt;0,$N220/$G220,0))</f>
        <v/>
      </c>
      <c r="P220" s="12">
        <f>IF($G220="","",$G220*$H220)</f>
        <v/>
      </c>
      <c r="Q220" s="12">
        <f>IF($N220="","",$N220-$I220*'設定'!$C$7)</f>
        <v/>
      </c>
      <c r="R220" s="14">
        <f>IF($N220="","",IF(AND($N220&gt;='設定'!$C$4,$O220&gt;='設定'!$C$5),IF($Q220&gt;=0,"仕入れOK","OK・下落に弱い"),"見送り"))</f>
        <v/>
      </c>
      <c r="S220" s="9" t="n"/>
      <c r="T220" s="8" t="n"/>
      <c r="U220" s="4" t="n"/>
      <c r="V220" s="8" t="n"/>
      <c r="W220" s="12">
        <f>IF(OR($G220="",$U220=""),"",$U220-$G220-$M220-$J220)</f>
        <v/>
      </c>
      <c r="X220" s="12">
        <f>IF(OR($I220="",$U220=""),"",$I220-$U220)</f>
        <v/>
      </c>
      <c r="Y220" s="11">
        <f>IF(OR($T220="",$V220=""),"",$V220-$T220)</f>
        <v/>
      </c>
      <c r="Z220" s="11">
        <f>IF(OR($S220="未発送",$S220="発送済",$S220="査定済",$S220="入金済"),1,0)</f>
        <v/>
      </c>
      <c r="AA220" s="11">
        <f>IF($U220="",0,1)</f>
        <v/>
      </c>
    </row>
    <row r="221">
      <c r="A221" s="8" t="n"/>
      <c r="B221" s="9" t="n"/>
      <c r="C221" s="10" t="n"/>
      <c r="D221" s="9" t="n"/>
      <c r="E221" s="9" t="n"/>
      <c r="F221" s="9" t="n"/>
      <c r="G221" s="4" t="n"/>
      <c r="H221" s="5" t="n"/>
      <c r="I221" s="4" t="n"/>
      <c r="J221" s="4" t="n"/>
      <c r="K221" s="4" t="n"/>
      <c r="L221" s="11">
        <f>IF($G221="","",IF($F221="",1,MAX(1,COUNTIF($F$6:$F$505,$F221)-COUNTIFS($F$6:$F$505,$F221,$S$6:$S$505,"見送り"))))</f>
        <v/>
      </c>
      <c r="M221" s="12">
        <f>IF($G221="","",IF($K221="",'設定'!$C$6,$K221)/$L221)</f>
        <v/>
      </c>
      <c r="N221" s="12">
        <f>IF(OR($G221="",$I221=""),"",$I221-$G221-$M221-$J221)</f>
        <v/>
      </c>
      <c r="O221" s="13">
        <f>IF($N221="","",IF($G221&gt;0,$N221/$G221,0))</f>
        <v/>
      </c>
      <c r="P221" s="12">
        <f>IF($G221="","",$G221*$H221)</f>
        <v/>
      </c>
      <c r="Q221" s="12">
        <f>IF($N221="","",$N221-$I221*'設定'!$C$7)</f>
        <v/>
      </c>
      <c r="R221" s="14">
        <f>IF($N221="","",IF(AND($N221&gt;='設定'!$C$4,$O221&gt;='設定'!$C$5),IF($Q221&gt;=0,"仕入れOK","OK・下落に弱い"),"見送り"))</f>
        <v/>
      </c>
      <c r="S221" s="9" t="n"/>
      <c r="T221" s="8" t="n"/>
      <c r="U221" s="4" t="n"/>
      <c r="V221" s="8" t="n"/>
      <c r="W221" s="12">
        <f>IF(OR($G221="",$U221=""),"",$U221-$G221-$M221-$J221)</f>
        <v/>
      </c>
      <c r="X221" s="12">
        <f>IF(OR($I221="",$U221=""),"",$I221-$U221)</f>
        <v/>
      </c>
      <c r="Y221" s="11">
        <f>IF(OR($T221="",$V221=""),"",$V221-$T221)</f>
        <v/>
      </c>
      <c r="Z221" s="11">
        <f>IF(OR($S221="未発送",$S221="発送済",$S221="査定済",$S221="入金済"),1,0)</f>
        <v/>
      </c>
      <c r="AA221" s="11">
        <f>IF($U221="",0,1)</f>
        <v/>
      </c>
    </row>
    <row r="222">
      <c r="A222" s="8" t="n"/>
      <c r="B222" s="9" t="n"/>
      <c r="C222" s="10" t="n"/>
      <c r="D222" s="9" t="n"/>
      <c r="E222" s="9" t="n"/>
      <c r="F222" s="9" t="n"/>
      <c r="G222" s="4" t="n"/>
      <c r="H222" s="5" t="n"/>
      <c r="I222" s="4" t="n"/>
      <c r="J222" s="4" t="n"/>
      <c r="K222" s="4" t="n"/>
      <c r="L222" s="11">
        <f>IF($G222="","",IF($F222="",1,MAX(1,COUNTIF($F$6:$F$505,$F222)-COUNTIFS($F$6:$F$505,$F222,$S$6:$S$505,"見送り"))))</f>
        <v/>
      </c>
      <c r="M222" s="12">
        <f>IF($G222="","",IF($K222="",'設定'!$C$6,$K222)/$L222)</f>
        <v/>
      </c>
      <c r="N222" s="12">
        <f>IF(OR($G222="",$I222=""),"",$I222-$G222-$M222-$J222)</f>
        <v/>
      </c>
      <c r="O222" s="13">
        <f>IF($N222="","",IF($G222&gt;0,$N222/$G222,0))</f>
        <v/>
      </c>
      <c r="P222" s="12">
        <f>IF($G222="","",$G222*$H222)</f>
        <v/>
      </c>
      <c r="Q222" s="12">
        <f>IF($N222="","",$N222-$I222*'設定'!$C$7)</f>
        <v/>
      </c>
      <c r="R222" s="14">
        <f>IF($N222="","",IF(AND($N222&gt;='設定'!$C$4,$O222&gt;='設定'!$C$5),IF($Q222&gt;=0,"仕入れOK","OK・下落に弱い"),"見送り"))</f>
        <v/>
      </c>
      <c r="S222" s="9" t="n"/>
      <c r="T222" s="8" t="n"/>
      <c r="U222" s="4" t="n"/>
      <c r="V222" s="8" t="n"/>
      <c r="W222" s="12">
        <f>IF(OR($G222="",$U222=""),"",$U222-$G222-$M222-$J222)</f>
        <v/>
      </c>
      <c r="X222" s="12">
        <f>IF(OR($I222="",$U222=""),"",$I222-$U222)</f>
        <v/>
      </c>
      <c r="Y222" s="11">
        <f>IF(OR($T222="",$V222=""),"",$V222-$T222)</f>
        <v/>
      </c>
      <c r="Z222" s="11">
        <f>IF(OR($S222="未発送",$S222="発送済",$S222="査定済",$S222="入金済"),1,0)</f>
        <v/>
      </c>
      <c r="AA222" s="11">
        <f>IF($U222="",0,1)</f>
        <v/>
      </c>
    </row>
    <row r="223">
      <c r="A223" s="8" t="n"/>
      <c r="B223" s="9" t="n"/>
      <c r="C223" s="10" t="n"/>
      <c r="D223" s="9" t="n"/>
      <c r="E223" s="9" t="n"/>
      <c r="F223" s="9" t="n"/>
      <c r="G223" s="4" t="n"/>
      <c r="H223" s="5" t="n"/>
      <c r="I223" s="4" t="n"/>
      <c r="J223" s="4" t="n"/>
      <c r="K223" s="4" t="n"/>
      <c r="L223" s="11">
        <f>IF($G223="","",IF($F223="",1,MAX(1,COUNTIF($F$6:$F$505,$F223)-COUNTIFS($F$6:$F$505,$F223,$S$6:$S$505,"見送り"))))</f>
        <v/>
      </c>
      <c r="M223" s="12">
        <f>IF($G223="","",IF($K223="",'設定'!$C$6,$K223)/$L223)</f>
        <v/>
      </c>
      <c r="N223" s="12">
        <f>IF(OR($G223="",$I223=""),"",$I223-$G223-$M223-$J223)</f>
        <v/>
      </c>
      <c r="O223" s="13">
        <f>IF($N223="","",IF($G223&gt;0,$N223/$G223,0))</f>
        <v/>
      </c>
      <c r="P223" s="12">
        <f>IF($G223="","",$G223*$H223)</f>
        <v/>
      </c>
      <c r="Q223" s="12">
        <f>IF($N223="","",$N223-$I223*'設定'!$C$7)</f>
        <v/>
      </c>
      <c r="R223" s="14">
        <f>IF($N223="","",IF(AND($N223&gt;='設定'!$C$4,$O223&gt;='設定'!$C$5),IF($Q223&gt;=0,"仕入れOK","OK・下落に弱い"),"見送り"))</f>
        <v/>
      </c>
      <c r="S223" s="9" t="n"/>
      <c r="T223" s="8" t="n"/>
      <c r="U223" s="4" t="n"/>
      <c r="V223" s="8" t="n"/>
      <c r="W223" s="12">
        <f>IF(OR($G223="",$U223=""),"",$U223-$G223-$M223-$J223)</f>
        <v/>
      </c>
      <c r="X223" s="12">
        <f>IF(OR($I223="",$U223=""),"",$I223-$U223)</f>
        <v/>
      </c>
      <c r="Y223" s="11">
        <f>IF(OR($T223="",$V223=""),"",$V223-$T223)</f>
        <v/>
      </c>
      <c r="Z223" s="11">
        <f>IF(OR($S223="未発送",$S223="発送済",$S223="査定済",$S223="入金済"),1,0)</f>
        <v/>
      </c>
      <c r="AA223" s="11">
        <f>IF($U223="",0,1)</f>
        <v/>
      </c>
    </row>
    <row r="224">
      <c r="A224" s="8" t="n"/>
      <c r="B224" s="9" t="n"/>
      <c r="C224" s="10" t="n"/>
      <c r="D224" s="9" t="n"/>
      <c r="E224" s="9" t="n"/>
      <c r="F224" s="9" t="n"/>
      <c r="G224" s="4" t="n"/>
      <c r="H224" s="5" t="n"/>
      <c r="I224" s="4" t="n"/>
      <c r="J224" s="4" t="n"/>
      <c r="K224" s="4" t="n"/>
      <c r="L224" s="11">
        <f>IF($G224="","",IF($F224="",1,MAX(1,COUNTIF($F$6:$F$505,$F224)-COUNTIFS($F$6:$F$505,$F224,$S$6:$S$505,"見送り"))))</f>
        <v/>
      </c>
      <c r="M224" s="12">
        <f>IF($G224="","",IF($K224="",'設定'!$C$6,$K224)/$L224)</f>
        <v/>
      </c>
      <c r="N224" s="12">
        <f>IF(OR($G224="",$I224=""),"",$I224-$G224-$M224-$J224)</f>
        <v/>
      </c>
      <c r="O224" s="13">
        <f>IF($N224="","",IF($G224&gt;0,$N224/$G224,0))</f>
        <v/>
      </c>
      <c r="P224" s="12">
        <f>IF($G224="","",$G224*$H224)</f>
        <v/>
      </c>
      <c r="Q224" s="12">
        <f>IF($N224="","",$N224-$I224*'設定'!$C$7)</f>
        <v/>
      </c>
      <c r="R224" s="14">
        <f>IF($N224="","",IF(AND($N224&gt;='設定'!$C$4,$O224&gt;='設定'!$C$5),IF($Q224&gt;=0,"仕入れOK","OK・下落に弱い"),"見送り"))</f>
        <v/>
      </c>
      <c r="S224" s="9" t="n"/>
      <c r="T224" s="8" t="n"/>
      <c r="U224" s="4" t="n"/>
      <c r="V224" s="8" t="n"/>
      <c r="W224" s="12">
        <f>IF(OR($G224="",$U224=""),"",$U224-$G224-$M224-$J224)</f>
        <v/>
      </c>
      <c r="X224" s="12">
        <f>IF(OR($I224="",$U224=""),"",$I224-$U224)</f>
        <v/>
      </c>
      <c r="Y224" s="11">
        <f>IF(OR($T224="",$V224=""),"",$V224-$T224)</f>
        <v/>
      </c>
      <c r="Z224" s="11">
        <f>IF(OR($S224="未発送",$S224="発送済",$S224="査定済",$S224="入金済"),1,0)</f>
        <v/>
      </c>
      <c r="AA224" s="11">
        <f>IF($U224="",0,1)</f>
        <v/>
      </c>
    </row>
    <row r="225">
      <c r="A225" s="8" t="n"/>
      <c r="B225" s="9" t="n"/>
      <c r="C225" s="10" t="n"/>
      <c r="D225" s="9" t="n"/>
      <c r="E225" s="9" t="n"/>
      <c r="F225" s="9" t="n"/>
      <c r="G225" s="4" t="n"/>
      <c r="H225" s="5" t="n"/>
      <c r="I225" s="4" t="n"/>
      <c r="J225" s="4" t="n"/>
      <c r="K225" s="4" t="n"/>
      <c r="L225" s="11">
        <f>IF($G225="","",IF($F225="",1,MAX(1,COUNTIF($F$6:$F$505,$F225)-COUNTIFS($F$6:$F$505,$F225,$S$6:$S$505,"見送り"))))</f>
        <v/>
      </c>
      <c r="M225" s="12">
        <f>IF($G225="","",IF($K225="",'設定'!$C$6,$K225)/$L225)</f>
        <v/>
      </c>
      <c r="N225" s="12">
        <f>IF(OR($G225="",$I225=""),"",$I225-$G225-$M225-$J225)</f>
        <v/>
      </c>
      <c r="O225" s="13">
        <f>IF($N225="","",IF($G225&gt;0,$N225/$G225,0))</f>
        <v/>
      </c>
      <c r="P225" s="12">
        <f>IF($G225="","",$G225*$H225)</f>
        <v/>
      </c>
      <c r="Q225" s="12">
        <f>IF($N225="","",$N225-$I225*'設定'!$C$7)</f>
        <v/>
      </c>
      <c r="R225" s="14">
        <f>IF($N225="","",IF(AND($N225&gt;='設定'!$C$4,$O225&gt;='設定'!$C$5),IF($Q225&gt;=0,"仕入れOK","OK・下落に弱い"),"見送り"))</f>
        <v/>
      </c>
      <c r="S225" s="9" t="n"/>
      <c r="T225" s="8" t="n"/>
      <c r="U225" s="4" t="n"/>
      <c r="V225" s="8" t="n"/>
      <c r="W225" s="12">
        <f>IF(OR($G225="",$U225=""),"",$U225-$G225-$M225-$J225)</f>
        <v/>
      </c>
      <c r="X225" s="12">
        <f>IF(OR($I225="",$U225=""),"",$I225-$U225)</f>
        <v/>
      </c>
      <c r="Y225" s="11">
        <f>IF(OR($T225="",$V225=""),"",$V225-$T225)</f>
        <v/>
      </c>
      <c r="Z225" s="11">
        <f>IF(OR($S225="未発送",$S225="発送済",$S225="査定済",$S225="入金済"),1,0)</f>
        <v/>
      </c>
      <c r="AA225" s="11">
        <f>IF($U225="",0,1)</f>
        <v/>
      </c>
    </row>
    <row r="226">
      <c r="A226" s="8" t="n"/>
      <c r="B226" s="9" t="n"/>
      <c r="C226" s="10" t="n"/>
      <c r="D226" s="9" t="n"/>
      <c r="E226" s="9" t="n"/>
      <c r="F226" s="9" t="n"/>
      <c r="G226" s="4" t="n"/>
      <c r="H226" s="5" t="n"/>
      <c r="I226" s="4" t="n"/>
      <c r="J226" s="4" t="n"/>
      <c r="K226" s="4" t="n"/>
      <c r="L226" s="11">
        <f>IF($G226="","",IF($F226="",1,MAX(1,COUNTIF($F$6:$F$505,$F226)-COUNTIFS($F$6:$F$505,$F226,$S$6:$S$505,"見送り"))))</f>
        <v/>
      </c>
      <c r="M226" s="12">
        <f>IF($G226="","",IF($K226="",'設定'!$C$6,$K226)/$L226)</f>
        <v/>
      </c>
      <c r="N226" s="12">
        <f>IF(OR($G226="",$I226=""),"",$I226-$G226-$M226-$J226)</f>
        <v/>
      </c>
      <c r="O226" s="13">
        <f>IF($N226="","",IF($G226&gt;0,$N226/$G226,0))</f>
        <v/>
      </c>
      <c r="P226" s="12">
        <f>IF($G226="","",$G226*$H226)</f>
        <v/>
      </c>
      <c r="Q226" s="12">
        <f>IF($N226="","",$N226-$I226*'設定'!$C$7)</f>
        <v/>
      </c>
      <c r="R226" s="14">
        <f>IF($N226="","",IF(AND($N226&gt;='設定'!$C$4,$O226&gt;='設定'!$C$5),IF($Q226&gt;=0,"仕入れOK","OK・下落に弱い"),"見送り"))</f>
        <v/>
      </c>
      <c r="S226" s="9" t="n"/>
      <c r="T226" s="8" t="n"/>
      <c r="U226" s="4" t="n"/>
      <c r="V226" s="8" t="n"/>
      <c r="W226" s="12">
        <f>IF(OR($G226="",$U226=""),"",$U226-$G226-$M226-$J226)</f>
        <v/>
      </c>
      <c r="X226" s="12">
        <f>IF(OR($I226="",$U226=""),"",$I226-$U226)</f>
        <v/>
      </c>
      <c r="Y226" s="11">
        <f>IF(OR($T226="",$V226=""),"",$V226-$T226)</f>
        <v/>
      </c>
      <c r="Z226" s="11">
        <f>IF(OR($S226="未発送",$S226="発送済",$S226="査定済",$S226="入金済"),1,0)</f>
        <v/>
      </c>
      <c r="AA226" s="11">
        <f>IF($U226="",0,1)</f>
        <v/>
      </c>
    </row>
    <row r="227">
      <c r="A227" s="8" t="n"/>
      <c r="B227" s="9" t="n"/>
      <c r="C227" s="10" t="n"/>
      <c r="D227" s="9" t="n"/>
      <c r="E227" s="9" t="n"/>
      <c r="F227" s="9" t="n"/>
      <c r="G227" s="4" t="n"/>
      <c r="H227" s="5" t="n"/>
      <c r="I227" s="4" t="n"/>
      <c r="J227" s="4" t="n"/>
      <c r="K227" s="4" t="n"/>
      <c r="L227" s="11">
        <f>IF($G227="","",IF($F227="",1,MAX(1,COUNTIF($F$6:$F$505,$F227)-COUNTIFS($F$6:$F$505,$F227,$S$6:$S$505,"見送り"))))</f>
        <v/>
      </c>
      <c r="M227" s="12">
        <f>IF($G227="","",IF($K227="",'設定'!$C$6,$K227)/$L227)</f>
        <v/>
      </c>
      <c r="N227" s="12">
        <f>IF(OR($G227="",$I227=""),"",$I227-$G227-$M227-$J227)</f>
        <v/>
      </c>
      <c r="O227" s="13">
        <f>IF($N227="","",IF($G227&gt;0,$N227/$G227,0))</f>
        <v/>
      </c>
      <c r="P227" s="12">
        <f>IF($G227="","",$G227*$H227)</f>
        <v/>
      </c>
      <c r="Q227" s="12">
        <f>IF($N227="","",$N227-$I227*'設定'!$C$7)</f>
        <v/>
      </c>
      <c r="R227" s="14">
        <f>IF($N227="","",IF(AND($N227&gt;='設定'!$C$4,$O227&gt;='設定'!$C$5),IF($Q227&gt;=0,"仕入れOK","OK・下落に弱い"),"見送り"))</f>
        <v/>
      </c>
      <c r="S227" s="9" t="n"/>
      <c r="T227" s="8" t="n"/>
      <c r="U227" s="4" t="n"/>
      <c r="V227" s="8" t="n"/>
      <c r="W227" s="12">
        <f>IF(OR($G227="",$U227=""),"",$U227-$G227-$M227-$J227)</f>
        <v/>
      </c>
      <c r="X227" s="12">
        <f>IF(OR($I227="",$U227=""),"",$I227-$U227)</f>
        <v/>
      </c>
      <c r="Y227" s="11">
        <f>IF(OR($T227="",$V227=""),"",$V227-$T227)</f>
        <v/>
      </c>
      <c r="Z227" s="11">
        <f>IF(OR($S227="未発送",$S227="発送済",$S227="査定済",$S227="入金済"),1,0)</f>
        <v/>
      </c>
      <c r="AA227" s="11">
        <f>IF($U227="",0,1)</f>
        <v/>
      </c>
    </row>
    <row r="228">
      <c r="A228" s="8" t="n"/>
      <c r="B228" s="9" t="n"/>
      <c r="C228" s="10" t="n"/>
      <c r="D228" s="9" t="n"/>
      <c r="E228" s="9" t="n"/>
      <c r="F228" s="9" t="n"/>
      <c r="G228" s="4" t="n"/>
      <c r="H228" s="5" t="n"/>
      <c r="I228" s="4" t="n"/>
      <c r="J228" s="4" t="n"/>
      <c r="K228" s="4" t="n"/>
      <c r="L228" s="11">
        <f>IF($G228="","",IF($F228="",1,MAX(1,COUNTIF($F$6:$F$505,$F228)-COUNTIFS($F$6:$F$505,$F228,$S$6:$S$505,"見送り"))))</f>
        <v/>
      </c>
      <c r="M228" s="12">
        <f>IF($G228="","",IF($K228="",'設定'!$C$6,$K228)/$L228)</f>
        <v/>
      </c>
      <c r="N228" s="12">
        <f>IF(OR($G228="",$I228=""),"",$I228-$G228-$M228-$J228)</f>
        <v/>
      </c>
      <c r="O228" s="13">
        <f>IF($N228="","",IF($G228&gt;0,$N228/$G228,0))</f>
        <v/>
      </c>
      <c r="P228" s="12">
        <f>IF($G228="","",$G228*$H228)</f>
        <v/>
      </c>
      <c r="Q228" s="12">
        <f>IF($N228="","",$N228-$I228*'設定'!$C$7)</f>
        <v/>
      </c>
      <c r="R228" s="14">
        <f>IF($N228="","",IF(AND($N228&gt;='設定'!$C$4,$O228&gt;='設定'!$C$5),IF($Q228&gt;=0,"仕入れOK","OK・下落に弱い"),"見送り"))</f>
        <v/>
      </c>
      <c r="S228" s="9" t="n"/>
      <c r="T228" s="8" t="n"/>
      <c r="U228" s="4" t="n"/>
      <c r="V228" s="8" t="n"/>
      <c r="W228" s="12">
        <f>IF(OR($G228="",$U228=""),"",$U228-$G228-$M228-$J228)</f>
        <v/>
      </c>
      <c r="X228" s="12">
        <f>IF(OR($I228="",$U228=""),"",$I228-$U228)</f>
        <v/>
      </c>
      <c r="Y228" s="11">
        <f>IF(OR($T228="",$V228=""),"",$V228-$T228)</f>
        <v/>
      </c>
      <c r="Z228" s="11">
        <f>IF(OR($S228="未発送",$S228="発送済",$S228="査定済",$S228="入金済"),1,0)</f>
        <v/>
      </c>
      <c r="AA228" s="11">
        <f>IF($U228="",0,1)</f>
        <v/>
      </c>
    </row>
    <row r="229">
      <c r="A229" s="8" t="n"/>
      <c r="B229" s="9" t="n"/>
      <c r="C229" s="10" t="n"/>
      <c r="D229" s="9" t="n"/>
      <c r="E229" s="9" t="n"/>
      <c r="F229" s="9" t="n"/>
      <c r="G229" s="4" t="n"/>
      <c r="H229" s="5" t="n"/>
      <c r="I229" s="4" t="n"/>
      <c r="J229" s="4" t="n"/>
      <c r="K229" s="4" t="n"/>
      <c r="L229" s="11">
        <f>IF($G229="","",IF($F229="",1,MAX(1,COUNTIF($F$6:$F$505,$F229)-COUNTIFS($F$6:$F$505,$F229,$S$6:$S$505,"見送り"))))</f>
        <v/>
      </c>
      <c r="M229" s="12">
        <f>IF($G229="","",IF($K229="",'設定'!$C$6,$K229)/$L229)</f>
        <v/>
      </c>
      <c r="N229" s="12">
        <f>IF(OR($G229="",$I229=""),"",$I229-$G229-$M229-$J229)</f>
        <v/>
      </c>
      <c r="O229" s="13">
        <f>IF($N229="","",IF($G229&gt;0,$N229/$G229,0))</f>
        <v/>
      </c>
      <c r="P229" s="12">
        <f>IF($G229="","",$G229*$H229)</f>
        <v/>
      </c>
      <c r="Q229" s="12">
        <f>IF($N229="","",$N229-$I229*'設定'!$C$7)</f>
        <v/>
      </c>
      <c r="R229" s="14">
        <f>IF($N229="","",IF(AND($N229&gt;='設定'!$C$4,$O229&gt;='設定'!$C$5),IF($Q229&gt;=0,"仕入れOK","OK・下落に弱い"),"見送り"))</f>
        <v/>
      </c>
      <c r="S229" s="9" t="n"/>
      <c r="T229" s="8" t="n"/>
      <c r="U229" s="4" t="n"/>
      <c r="V229" s="8" t="n"/>
      <c r="W229" s="12">
        <f>IF(OR($G229="",$U229=""),"",$U229-$G229-$M229-$J229)</f>
        <v/>
      </c>
      <c r="X229" s="12">
        <f>IF(OR($I229="",$U229=""),"",$I229-$U229)</f>
        <v/>
      </c>
      <c r="Y229" s="11">
        <f>IF(OR($T229="",$V229=""),"",$V229-$T229)</f>
        <v/>
      </c>
      <c r="Z229" s="11">
        <f>IF(OR($S229="未発送",$S229="発送済",$S229="査定済",$S229="入金済"),1,0)</f>
        <v/>
      </c>
      <c r="AA229" s="11">
        <f>IF($U229="",0,1)</f>
        <v/>
      </c>
    </row>
    <row r="230">
      <c r="A230" s="8" t="n"/>
      <c r="B230" s="9" t="n"/>
      <c r="C230" s="10" t="n"/>
      <c r="D230" s="9" t="n"/>
      <c r="E230" s="9" t="n"/>
      <c r="F230" s="9" t="n"/>
      <c r="G230" s="4" t="n"/>
      <c r="H230" s="5" t="n"/>
      <c r="I230" s="4" t="n"/>
      <c r="J230" s="4" t="n"/>
      <c r="K230" s="4" t="n"/>
      <c r="L230" s="11">
        <f>IF($G230="","",IF($F230="",1,MAX(1,COUNTIF($F$6:$F$505,$F230)-COUNTIFS($F$6:$F$505,$F230,$S$6:$S$505,"見送り"))))</f>
        <v/>
      </c>
      <c r="M230" s="12">
        <f>IF($G230="","",IF($K230="",'設定'!$C$6,$K230)/$L230)</f>
        <v/>
      </c>
      <c r="N230" s="12">
        <f>IF(OR($G230="",$I230=""),"",$I230-$G230-$M230-$J230)</f>
        <v/>
      </c>
      <c r="O230" s="13">
        <f>IF($N230="","",IF($G230&gt;0,$N230/$G230,0))</f>
        <v/>
      </c>
      <c r="P230" s="12">
        <f>IF($G230="","",$G230*$H230)</f>
        <v/>
      </c>
      <c r="Q230" s="12">
        <f>IF($N230="","",$N230-$I230*'設定'!$C$7)</f>
        <v/>
      </c>
      <c r="R230" s="14">
        <f>IF($N230="","",IF(AND($N230&gt;='設定'!$C$4,$O230&gt;='設定'!$C$5),IF($Q230&gt;=0,"仕入れOK","OK・下落に弱い"),"見送り"))</f>
        <v/>
      </c>
      <c r="S230" s="9" t="n"/>
      <c r="T230" s="8" t="n"/>
      <c r="U230" s="4" t="n"/>
      <c r="V230" s="8" t="n"/>
      <c r="W230" s="12">
        <f>IF(OR($G230="",$U230=""),"",$U230-$G230-$M230-$J230)</f>
        <v/>
      </c>
      <c r="X230" s="12">
        <f>IF(OR($I230="",$U230=""),"",$I230-$U230)</f>
        <v/>
      </c>
      <c r="Y230" s="11">
        <f>IF(OR($T230="",$V230=""),"",$V230-$T230)</f>
        <v/>
      </c>
      <c r="Z230" s="11">
        <f>IF(OR($S230="未発送",$S230="発送済",$S230="査定済",$S230="入金済"),1,0)</f>
        <v/>
      </c>
      <c r="AA230" s="11">
        <f>IF($U230="",0,1)</f>
        <v/>
      </c>
    </row>
    <row r="231">
      <c r="A231" s="8" t="n"/>
      <c r="B231" s="9" t="n"/>
      <c r="C231" s="10" t="n"/>
      <c r="D231" s="9" t="n"/>
      <c r="E231" s="9" t="n"/>
      <c r="F231" s="9" t="n"/>
      <c r="G231" s="4" t="n"/>
      <c r="H231" s="5" t="n"/>
      <c r="I231" s="4" t="n"/>
      <c r="J231" s="4" t="n"/>
      <c r="K231" s="4" t="n"/>
      <c r="L231" s="11">
        <f>IF($G231="","",IF($F231="",1,MAX(1,COUNTIF($F$6:$F$505,$F231)-COUNTIFS($F$6:$F$505,$F231,$S$6:$S$505,"見送り"))))</f>
        <v/>
      </c>
      <c r="M231" s="12">
        <f>IF($G231="","",IF($K231="",'設定'!$C$6,$K231)/$L231)</f>
        <v/>
      </c>
      <c r="N231" s="12">
        <f>IF(OR($G231="",$I231=""),"",$I231-$G231-$M231-$J231)</f>
        <v/>
      </c>
      <c r="O231" s="13">
        <f>IF($N231="","",IF($G231&gt;0,$N231/$G231,0))</f>
        <v/>
      </c>
      <c r="P231" s="12">
        <f>IF($G231="","",$G231*$H231)</f>
        <v/>
      </c>
      <c r="Q231" s="12">
        <f>IF($N231="","",$N231-$I231*'設定'!$C$7)</f>
        <v/>
      </c>
      <c r="R231" s="14">
        <f>IF($N231="","",IF(AND($N231&gt;='設定'!$C$4,$O231&gt;='設定'!$C$5),IF($Q231&gt;=0,"仕入れOK","OK・下落に弱い"),"見送り"))</f>
        <v/>
      </c>
      <c r="S231" s="9" t="n"/>
      <c r="T231" s="8" t="n"/>
      <c r="U231" s="4" t="n"/>
      <c r="V231" s="8" t="n"/>
      <c r="W231" s="12">
        <f>IF(OR($G231="",$U231=""),"",$U231-$G231-$M231-$J231)</f>
        <v/>
      </c>
      <c r="X231" s="12">
        <f>IF(OR($I231="",$U231=""),"",$I231-$U231)</f>
        <v/>
      </c>
      <c r="Y231" s="11">
        <f>IF(OR($T231="",$V231=""),"",$V231-$T231)</f>
        <v/>
      </c>
      <c r="Z231" s="11">
        <f>IF(OR($S231="未発送",$S231="発送済",$S231="査定済",$S231="入金済"),1,0)</f>
        <v/>
      </c>
      <c r="AA231" s="11">
        <f>IF($U231="",0,1)</f>
        <v/>
      </c>
    </row>
    <row r="232">
      <c r="A232" s="8" t="n"/>
      <c r="B232" s="9" t="n"/>
      <c r="C232" s="10" t="n"/>
      <c r="D232" s="9" t="n"/>
      <c r="E232" s="9" t="n"/>
      <c r="F232" s="9" t="n"/>
      <c r="G232" s="4" t="n"/>
      <c r="H232" s="5" t="n"/>
      <c r="I232" s="4" t="n"/>
      <c r="J232" s="4" t="n"/>
      <c r="K232" s="4" t="n"/>
      <c r="L232" s="11">
        <f>IF($G232="","",IF($F232="",1,MAX(1,COUNTIF($F$6:$F$505,$F232)-COUNTIFS($F$6:$F$505,$F232,$S$6:$S$505,"見送り"))))</f>
        <v/>
      </c>
      <c r="M232" s="12">
        <f>IF($G232="","",IF($K232="",'設定'!$C$6,$K232)/$L232)</f>
        <v/>
      </c>
      <c r="N232" s="12">
        <f>IF(OR($G232="",$I232=""),"",$I232-$G232-$M232-$J232)</f>
        <v/>
      </c>
      <c r="O232" s="13">
        <f>IF($N232="","",IF($G232&gt;0,$N232/$G232,0))</f>
        <v/>
      </c>
      <c r="P232" s="12">
        <f>IF($G232="","",$G232*$H232)</f>
        <v/>
      </c>
      <c r="Q232" s="12">
        <f>IF($N232="","",$N232-$I232*'設定'!$C$7)</f>
        <v/>
      </c>
      <c r="R232" s="14">
        <f>IF($N232="","",IF(AND($N232&gt;='設定'!$C$4,$O232&gt;='設定'!$C$5),IF($Q232&gt;=0,"仕入れOK","OK・下落に弱い"),"見送り"))</f>
        <v/>
      </c>
      <c r="S232" s="9" t="n"/>
      <c r="T232" s="8" t="n"/>
      <c r="U232" s="4" t="n"/>
      <c r="V232" s="8" t="n"/>
      <c r="W232" s="12">
        <f>IF(OR($G232="",$U232=""),"",$U232-$G232-$M232-$J232)</f>
        <v/>
      </c>
      <c r="X232" s="12">
        <f>IF(OR($I232="",$U232=""),"",$I232-$U232)</f>
        <v/>
      </c>
      <c r="Y232" s="11">
        <f>IF(OR($T232="",$V232=""),"",$V232-$T232)</f>
        <v/>
      </c>
      <c r="Z232" s="11">
        <f>IF(OR($S232="未発送",$S232="発送済",$S232="査定済",$S232="入金済"),1,0)</f>
        <v/>
      </c>
      <c r="AA232" s="11">
        <f>IF($U232="",0,1)</f>
        <v/>
      </c>
    </row>
    <row r="233">
      <c r="A233" s="8" t="n"/>
      <c r="B233" s="9" t="n"/>
      <c r="C233" s="10" t="n"/>
      <c r="D233" s="9" t="n"/>
      <c r="E233" s="9" t="n"/>
      <c r="F233" s="9" t="n"/>
      <c r="G233" s="4" t="n"/>
      <c r="H233" s="5" t="n"/>
      <c r="I233" s="4" t="n"/>
      <c r="J233" s="4" t="n"/>
      <c r="K233" s="4" t="n"/>
      <c r="L233" s="11">
        <f>IF($G233="","",IF($F233="",1,MAX(1,COUNTIF($F$6:$F$505,$F233)-COUNTIFS($F$6:$F$505,$F233,$S$6:$S$505,"見送り"))))</f>
        <v/>
      </c>
      <c r="M233" s="12">
        <f>IF($G233="","",IF($K233="",'設定'!$C$6,$K233)/$L233)</f>
        <v/>
      </c>
      <c r="N233" s="12">
        <f>IF(OR($G233="",$I233=""),"",$I233-$G233-$M233-$J233)</f>
        <v/>
      </c>
      <c r="O233" s="13">
        <f>IF($N233="","",IF($G233&gt;0,$N233/$G233,0))</f>
        <v/>
      </c>
      <c r="P233" s="12">
        <f>IF($G233="","",$G233*$H233)</f>
        <v/>
      </c>
      <c r="Q233" s="12">
        <f>IF($N233="","",$N233-$I233*'設定'!$C$7)</f>
        <v/>
      </c>
      <c r="R233" s="14">
        <f>IF($N233="","",IF(AND($N233&gt;='設定'!$C$4,$O233&gt;='設定'!$C$5),IF($Q233&gt;=0,"仕入れOK","OK・下落に弱い"),"見送り"))</f>
        <v/>
      </c>
      <c r="S233" s="9" t="n"/>
      <c r="T233" s="8" t="n"/>
      <c r="U233" s="4" t="n"/>
      <c r="V233" s="8" t="n"/>
      <c r="W233" s="12">
        <f>IF(OR($G233="",$U233=""),"",$U233-$G233-$M233-$J233)</f>
        <v/>
      </c>
      <c r="X233" s="12">
        <f>IF(OR($I233="",$U233=""),"",$I233-$U233)</f>
        <v/>
      </c>
      <c r="Y233" s="11">
        <f>IF(OR($T233="",$V233=""),"",$V233-$T233)</f>
        <v/>
      </c>
      <c r="Z233" s="11">
        <f>IF(OR($S233="未発送",$S233="発送済",$S233="査定済",$S233="入金済"),1,0)</f>
        <v/>
      </c>
      <c r="AA233" s="11">
        <f>IF($U233="",0,1)</f>
        <v/>
      </c>
    </row>
    <row r="234">
      <c r="A234" s="8" t="n"/>
      <c r="B234" s="9" t="n"/>
      <c r="C234" s="10" t="n"/>
      <c r="D234" s="9" t="n"/>
      <c r="E234" s="9" t="n"/>
      <c r="F234" s="9" t="n"/>
      <c r="G234" s="4" t="n"/>
      <c r="H234" s="5" t="n"/>
      <c r="I234" s="4" t="n"/>
      <c r="J234" s="4" t="n"/>
      <c r="K234" s="4" t="n"/>
      <c r="L234" s="11">
        <f>IF($G234="","",IF($F234="",1,MAX(1,COUNTIF($F$6:$F$505,$F234)-COUNTIFS($F$6:$F$505,$F234,$S$6:$S$505,"見送り"))))</f>
        <v/>
      </c>
      <c r="M234" s="12">
        <f>IF($G234="","",IF($K234="",'設定'!$C$6,$K234)/$L234)</f>
        <v/>
      </c>
      <c r="N234" s="12">
        <f>IF(OR($G234="",$I234=""),"",$I234-$G234-$M234-$J234)</f>
        <v/>
      </c>
      <c r="O234" s="13">
        <f>IF($N234="","",IF($G234&gt;0,$N234/$G234,0))</f>
        <v/>
      </c>
      <c r="P234" s="12">
        <f>IF($G234="","",$G234*$H234)</f>
        <v/>
      </c>
      <c r="Q234" s="12">
        <f>IF($N234="","",$N234-$I234*'設定'!$C$7)</f>
        <v/>
      </c>
      <c r="R234" s="14">
        <f>IF($N234="","",IF(AND($N234&gt;='設定'!$C$4,$O234&gt;='設定'!$C$5),IF($Q234&gt;=0,"仕入れOK","OK・下落に弱い"),"見送り"))</f>
        <v/>
      </c>
      <c r="S234" s="9" t="n"/>
      <c r="T234" s="8" t="n"/>
      <c r="U234" s="4" t="n"/>
      <c r="V234" s="8" t="n"/>
      <c r="W234" s="12">
        <f>IF(OR($G234="",$U234=""),"",$U234-$G234-$M234-$J234)</f>
        <v/>
      </c>
      <c r="X234" s="12">
        <f>IF(OR($I234="",$U234=""),"",$I234-$U234)</f>
        <v/>
      </c>
      <c r="Y234" s="11">
        <f>IF(OR($T234="",$V234=""),"",$V234-$T234)</f>
        <v/>
      </c>
      <c r="Z234" s="11">
        <f>IF(OR($S234="未発送",$S234="発送済",$S234="査定済",$S234="入金済"),1,0)</f>
        <v/>
      </c>
      <c r="AA234" s="11">
        <f>IF($U234="",0,1)</f>
        <v/>
      </c>
    </row>
    <row r="235">
      <c r="A235" s="8" t="n"/>
      <c r="B235" s="9" t="n"/>
      <c r="C235" s="10" t="n"/>
      <c r="D235" s="9" t="n"/>
      <c r="E235" s="9" t="n"/>
      <c r="F235" s="9" t="n"/>
      <c r="G235" s="4" t="n"/>
      <c r="H235" s="5" t="n"/>
      <c r="I235" s="4" t="n"/>
      <c r="J235" s="4" t="n"/>
      <c r="K235" s="4" t="n"/>
      <c r="L235" s="11">
        <f>IF($G235="","",IF($F235="",1,MAX(1,COUNTIF($F$6:$F$505,$F235)-COUNTIFS($F$6:$F$505,$F235,$S$6:$S$505,"見送り"))))</f>
        <v/>
      </c>
      <c r="M235" s="12">
        <f>IF($G235="","",IF($K235="",'設定'!$C$6,$K235)/$L235)</f>
        <v/>
      </c>
      <c r="N235" s="12">
        <f>IF(OR($G235="",$I235=""),"",$I235-$G235-$M235-$J235)</f>
        <v/>
      </c>
      <c r="O235" s="13">
        <f>IF($N235="","",IF($G235&gt;0,$N235/$G235,0))</f>
        <v/>
      </c>
      <c r="P235" s="12">
        <f>IF($G235="","",$G235*$H235)</f>
        <v/>
      </c>
      <c r="Q235" s="12">
        <f>IF($N235="","",$N235-$I235*'設定'!$C$7)</f>
        <v/>
      </c>
      <c r="R235" s="14">
        <f>IF($N235="","",IF(AND($N235&gt;='設定'!$C$4,$O235&gt;='設定'!$C$5),IF($Q235&gt;=0,"仕入れOK","OK・下落に弱い"),"見送り"))</f>
        <v/>
      </c>
      <c r="S235" s="9" t="n"/>
      <c r="T235" s="8" t="n"/>
      <c r="U235" s="4" t="n"/>
      <c r="V235" s="8" t="n"/>
      <c r="W235" s="12">
        <f>IF(OR($G235="",$U235=""),"",$U235-$G235-$M235-$J235)</f>
        <v/>
      </c>
      <c r="X235" s="12">
        <f>IF(OR($I235="",$U235=""),"",$I235-$U235)</f>
        <v/>
      </c>
      <c r="Y235" s="11">
        <f>IF(OR($T235="",$V235=""),"",$V235-$T235)</f>
        <v/>
      </c>
      <c r="Z235" s="11">
        <f>IF(OR($S235="未発送",$S235="発送済",$S235="査定済",$S235="入金済"),1,0)</f>
        <v/>
      </c>
      <c r="AA235" s="11">
        <f>IF($U235="",0,1)</f>
        <v/>
      </c>
    </row>
    <row r="236">
      <c r="A236" s="8" t="n"/>
      <c r="B236" s="9" t="n"/>
      <c r="C236" s="10" t="n"/>
      <c r="D236" s="9" t="n"/>
      <c r="E236" s="9" t="n"/>
      <c r="F236" s="9" t="n"/>
      <c r="G236" s="4" t="n"/>
      <c r="H236" s="5" t="n"/>
      <c r="I236" s="4" t="n"/>
      <c r="J236" s="4" t="n"/>
      <c r="K236" s="4" t="n"/>
      <c r="L236" s="11">
        <f>IF($G236="","",IF($F236="",1,MAX(1,COUNTIF($F$6:$F$505,$F236)-COUNTIFS($F$6:$F$505,$F236,$S$6:$S$505,"見送り"))))</f>
        <v/>
      </c>
      <c r="M236" s="12">
        <f>IF($G236="","",IF($K236="",'設定'!$C$6,$K236)/$L236)</f>
        <v/>
      </c>
      <c r="N236" s="12">
        <f>IF(OR($G236="",$I236=""),"",$I236-$G236-$M236-$J236)</f>
        <v/>
      </c>
      <c r="O236" s="13">
        <f>IF($N236="","",IF($G236&gt;0,$N236/$G236,0))</f>
        <v/>
      </c>
      <c r="P236" s="12">
        <f>IF($G236="","",$G236*$H236)</f>
        <v/>
      </c>
      <c r="Q236" s="12">
        <f>IF($N236="","",$N236-$I236*'設定'!$C$7)</f>
        <v/>
      </c>
      <c r="R236" s="14">
        <f>IF($N236="","",IF(AND($N236&gt;='設定'!$C$4,$O236&gt;='設定'!$C$5),IF($Q236&gt;=0,"仕入れOK","OK・下落に弱い"),"見送り"))</f>
        <v/>
      </c>
      <c r="S236" s="9" t="n"/>
      <c r="T236" s="8" t="n"/>
      <c r="U236" s="4" t="n"/>
      <c r="V236" s="8" t="n"/>
      <c r="W236" s="12">
        <f>IF(OR($G236="",$U236=""),"",$U236-$G236-$M236-$J236)</f>
        <v/>
      </c>
      <c r="X236" s="12">
        <f>IF(OR($I236="",$U236=""),"",$I236-$U236)</f>
        <v/>
      </c>
      <c r="Y236" s="11">
        <f>IF(OR($T236="",$V236=""),"",$V236-$T236)</f>
        <v/>
      </c>
      <c r="Z236" s="11">
        <f>IF(OR($S236="未発送",$S236="発送済",$S236="査定済",$S236="入金済"),1,0)</f>
        <v/>
      </c>
      <c r="AA236" s="11">
        <f>IF($U236="",0,1)</f>
        <v/>
      </c>
    </row>
    <row r="237">
      <c r="A237" s="8" t="n"/>
      <c r="B237" s="9" t="n"/>
      <c r="C237" s="10" t="n"/>
      <c r="D237" s="9" t="n"/>
      <c r="E237" s="9" t="n"/>
      <c r="F237" s="9" t="n"/>
      <c r="G237" s="4" t="n"/>
      <c r="H237" s="5" t="n"/>
      <c r="I237" s="4" t="n"/>
      <c r="J237" s="4" t="n"/>
      <c r="K237" s="4" t="n"/>
      <c r="L237" s="11">
        <f>IF($G237="","",IF($F237="",1,MAX(1,COUNTIF($F$6:$F$505,$F237)-COUNTIFS($F$6:$F$505,$F237,$S$6:$S$505,"見送り"))))</f>
        <v/>
      </c>
      <c r="M237" s="12">
        <f>IF($G237="","",IF($K237="",'設定'!$C$6,$K237)/$L237)</f>
        <v/>
      </c>
      <c r="N237" s="12">
        <f>IF(OR($G237="",$I237=""),"",$I237-$G237-$M237-$J237)</f>
        <v/>
      </c>
      <c r="O237" s="13">
        <f>IF($N237="","",IF($G237&gt;0,$N237/$G237,0))</f>
        <v/>
      </c>
      <c r="P237" s="12">
        <f>IF($G237="","",$G237*$H237)</f>
        <v/>
      </c>
      <c r="Q237" s="12">
        <f>IF($N237="","",$N237-$I237*'設定'!$C$7)</f>
        <v/>
      </c>
      <c r="R237" s="14">
        <f>IF($N237="","",IF(AND($N237&gt;='設定'!$C$4,$O237&gt;='設定'!$C$5),IF($Q237&gt;=0,"仕入れOK","OK・下落に弱い"),"見送り"))</f>
        <v/>
      </c>
      <c r="S237" s="9" t="n"/>
      <c r="T237" s="8" t="n"/>
      <c r="U237" s="4" t="n"/>
      <c r="V237" s="8" t="n"/>
      <c r="W237" s="12">
        <f>IF(OR($G237="",$U237=""),"",$U237-$G237-$M237-$J237)</f>
        <v/>
      </c>
      <c r="X237" s="12">
        <f>IF(OR($I237="",$U237=""),"",$I237-$U237)</f>
        <v/>
      </c>
      <c r="Y237" s="11">
        <f>IF(OR($T237="",$V237=""),"",$V237-$T237)</f>
        <v/>
      </c>
      <c r="Z237" s="11">
        <f>IF(OR($S237="未発送",$S237="発送済",$S237="査定済",$S237="入金済"),1,0)</f>
        <v/>
      </c>
      <c r="AA237" s="11">
        <f>IF($U237="",0,1)</f>
        <v/>
      </c>
    </row>
    <row r="238">
      <c r="A238" s="8" t="n"/>
      <c r="B238" s="9" t="n"/>
      <c r="C238" s="10" t="n"/>
      <c r="D238" s="9" t="n"/>
      <c r="E238" s="9" t="n"/>
      <c r="F238" s="9" t="n"/>
      <c r="G238" s="4" t="n"/>
      <c r="H238" s="5" t="n"/>
      <c r="I238" s="4" t="n"/>
      <c r="J238" s="4" t="n"/>
      <c r="K238" s="4" t="n"/>
      <c r="L238" s="11">
        <f>IF($G238="","",IF($F238="",1,MAX(1,COUNTIF($F$6:$F$505,$F238)-COUNTIFS($F$6:$F$505,$F238,$S$6:$S$505,"見送り"))))</f>
        <v/>
      </c>
      <c r="M238" s="12">
        <f>IF($G238="","",IF($K238="",'設定'!$C$6,$K238)/$L238)</f>
        <v/>
      </c>
      <c r="N238" s="12">
        <f>IF(OR($G238="",$I238=""),"",$I238-$G238-$M238-$J238)</f>
        <v/>
      </c>
      <c r="O238" s="13">
        <f>IF($N238="","",IF($G238&gt;0,$N238/$G238,0))</f>
        <v/>
      </c>
      <c r="P238" s="12">
        <f>IF($G238="","",$G238*$H238)</f>
        <v/>
      </c>
      <c r="Q238" s="12">
        <f>IF($N238="","",$N238-$I238*'設定'!$C$7)</f>
        <v/>
      </c>
      <c r="R238" s="14">
        <f>IF($N238="","",IF(AND($N238&gt;='設定'!$C$4,$O238&gt;='設定'!$C$5),IF($Q238&gt;=0,"仕入れOK","OK・下落に弱い"),"見送り"))</f>
        <v/>
      </c>
      <c r="S238" s="9" t="n"/>
      <c r="T238" s="8" t="n"/>
      <c r="U238" s="4" t="n"/>
      <c r="V238" s="8" t="n"/>
      <c r="W238" s="12">
        <f>IF(OR($G238="",$U238=""),"",$U238-$G238-$M238-$J238)</f>
        <v/>
      </c>
      <c r="X238" s="12">
        <f>IF(OR($I238="",$U238=""),"",$I238-$U238)</f>
        <v/>
      </c>
      <c r="Y238" s="11">
        <f>IF(OR($T238="",$V238=""),"",$V238-$T238)</f>
        <v/>
      </c>
      <c r="Z238" s="11">
        <f>IF(OR($S238="未発送",$S238="発送済",$S238="査定済",$S238="入金済"),1,0)</f>
        <v/>
      </c>
      <c r="AA238" s="11">
        <f>IF($U238="",0,1)</f>
        <v/>
      </c>
    </row>
    <row r="239">
      <c r="A239" s="8" t="n"/>
      <c r="B239" s="9" t="n"/>
      <c r="C239" s="10" t="n"/>
      <c r="D239" s="9" t="n"/>
      <c r="E239" s="9" t="n"/>
      <c r="F239" s="9" t="n"/>
      <c r="G239" s="4" t="n"/>
      <c r="H239" s="5" t="n"/>
      <c r="I239" s="4" t="n"/>
      <c r="J239" s="4" t="n"/>
      <c r="K239" s="4" t="n"/>
      <c r="L239" s="11">
        <f>IF($G239="","",IF($F239="",1,MAX(1,COUNTIF($F$6:$F$505,$F239)-COUNTIFS($F$6:$F$505,$F239,$S$6:$S$505,"見送り"))))</f>
        <v/>
      </c>
      <c r="M239" s="12">
        <f>IF($G239="","",IF($K239="",'設定'!$C$6,$K239)/$L239)</f>
        <v/>
      </c>
      <c r="N239" s="12">
        <f>IF(OR($G239="",$I239=""),"",$I239-$G239-$M239-$J239)</f>
        <v/>
      </c>
      <c r="O239" s="13">
        <f>IF($N239="","",IF($G239&gt;0,$N239/$G239,0))</f>
        <v/>
      </c>
      <c r="P239" s="12">
        <f>IF($G239="","",$G239*$H239)</f>
        <v/>
      </c>
      <c r="Q239" s="12">
        <f>IF($N239="","",$N239-$I239*'設定'!$C$7)</f>
        <v/>
      </c>
      <c r="R239" s="14">
        <f>IF($N239="","",IF(AND($N239&gt;='設定'!$C$4,$O239&gt;='設定'!$C$5),IF($Q239&gt;=0,"仕入れOK","OK・下落に弱い"),"見送り"))</f>
        <v/>
      </c>
      <c r="S239" s="9" t="n"/>
      <c r="T239" s="8" t="n"/>
      <c r="U239" s="4" t="n"/>
      <c r="V239" s="8" t="n"/>
      <c r="W239" s="12">
        <f>IF(OR($G239="",$U239=""),"",$U239-$G239-$M239-$J239)</f>
        <v/>
      </c>
      <c r="X239" s="12">
        <f>IF(OR($I239="",$U239=""),"",$I239-$U239)</f>
        <v/>
      </c>
      <c r="Y239" s="11">
        <f>IF(OR($T239="",$V239=""),"",$V239-$T239)</f>
        <v/>
      </c>
      <c r="Z239" s="11">
        <f>IF(OR($S239="未発送",$S239="発送済",$S239="査定済",$S239="入金済"),1,0)</f>
        <v/>
      </c>
      <c r="AA239" s="11">
        <f>IF($U239="",0,1)</f>
        <v/>
      </c>
    </row>
    <row r="240">
      <c r="A240" s="8" t="n"/>
      <c r="B240" s="9" t="n"/>
      <c r="C240" s="10" t="n"/>
      <c r="D240" s="9" t="n"/>
      <c r="E240" s="9" t="n"/>
      <c r="F240" s="9" t="n"/>
      <c r="G240" s="4" t="n"/>
      <c r="H240" s="5" t="n"/>
      <c r="I240" s="4" t="n"/>
      <c r="J240" s="4" t="n"/>
      <c r="K240" s="4" t="n"/>
      <c r="L240" s="11">
        <f>IF($G240="","",IF($F240="",1,MAX(1,COUNTIF($F$6:$F$505,$F240)-COUNTIFS($F$6:$F$505,$F240,$S$6:$S$505,"見送り"))))</f>
        <v/>
      </c>
      <c r="M240" s="12">
        <f>IF($G240="","",IF($K240="",'設定'!$C$6,$K240)/$L240)</f>
        <v/>
      </c>
      <c r="N240" s="12">
        <f>IF(OR($G240="",$I240=""),"",$I240-$G240-$M240-$J240)</f>
        <v/>
      </c>
      <c r="O240" s="13">
        <f>IF($N240="","",IF($G240&gt;0,$N240/$G240,0))</f>
        <v/>
      </c>
      <c r="P240" s="12">
        <f>IF($G240="","",$G240*$H240)</f>
        <v/>
      </c>
      <c r="Q240" s="12">
        <f>IF($N240="","",$N240-$I240*'設定'!$C$7)</f>
        <v/>
      </c>
      <c r="R240" s="14">
        <f>IF($N240="","",IF(AND($N240&gt;='設定'!$C$4,$O240&gt;='設定'!$C$5),IF($Q240&gt;=0,"仕入れOK","OK・下落に弱い"),"見送り"))</f>
        <v/>
      </c>
      <c r="S240" s="9" t="n"/>
      <c r="T240" s="8" t="n"/>
      <c r="U240" s="4" t="n"/>
      <c r="V240" s="8" t="n"/>
      <c r="W240" s="12">
        <f>IF(OR($G240="",$U240=""),"",$U240-$G240-$M240-$J240)</f>
        <v/>
      </c>
      <c r="X240" s="12">
        <f>IF(OR($I240="",$U240=""),"",$I240-$U240)</f>
        <v/>
      </c>
      <c r="Y240" s="11">
        <f>IF(OR($T240="",$V240=""),"",$V240-$T240)</f>
        <v/>
      </c>
      <c r="Z240" s="11">
        <f>IF(OR($S240="未発送",$S240="発送済",$S240="査定済",$S240="入金済"),1,0)</f>
        <v/>
      </c>
      <c r="AA240" s="11">
        <f>IF($U240="",0,1)</f>
        <v/>
      </c>
    </row>
    <row r="241">
      <c r="A241" s="8" t="n"/>
      <c r="B241" s="9" t="n"/>
      <c r="C241" s="10" t="n"/>
      <c r="D241" s="9" t="n"/>
      <c r="E241" s="9" t="n"/>
      <c r="F241" s="9" t="n"/>
      <c r="G241" s="4" t="n"/>
      <c r="H241" s="5" t="n"/>
      <c r="I241" s="4" t="n"/>
      <c r="J241" s="4" t="n"/>
      <c r="K241" s="4" t="n"/>
      <c r="L241" s="11">
        <f>IF($G241="","",IF($F241="",1,MAX(1,COUNTIF($F$6:$F$505,$F241)-COUNTIFS($F$6:$F$505,$F241,$S$6:$S$505,"見送り"))))</f>
        <v/>
      </c>
      <c r="M241" s="12">
        <f>IF($G241="","",IF($K241="",'設定'!$C$6,$K241)/$L241)</f>
        <v/>
      </c>
      <c r="N241" s="12">
        <f>IF(OR($G241="",$I241=""),"",$I241-$G241-$M241-$J241)</f>
        <v/>
      </c>
      <c r="O241" s="13">
        <f>IF($N241="","",IF($G241&gt;0,$N241/$G241,0))</f>
        <v/>
      </c>
      <c r="P241" s="12">
        <f>IF($G241="","",$G241*$H241)</f>
        <v/>
      </c>
      <c r="Q241" s="12">
        <f>IF($N241="","",$N241-$I241*'設定'!$C$7)</f>
        <v/>
      </c>
      <c r="R241" s="14">
        <f>IF($N241="","",IF(AND($N241&gt;='設定'!$C$4,$O241&gt;='設定'!$C$5),IF($Q241&gt;=0,"仕入れOK","OK・下落に弱い"),"見送り"))</f>
        <v/>
      </c>
      <c r="S241" s="9" t="n"/>
      <c r="T241" s="8" t="n"/>
      <c r="U241" s="4" t="n"/>
      <c r="V241" s="8" t="n"/>
      <c r="W241" s="12">
        <f>IF(OR($G241="",$U241=""),"",$U241-$G241-$M241-$J241)</f>
        <v/>
      </c>
      <c r="X241" s="12">
        <f>IF(OR($I241="",$U241=""),"",$I241-$U241)</f>
        <v/>
      </c>
      <c r="Y241" s="11">
        <f>IF(OR($T241="",$V241=""),"",$V241-$T241)</f>
        <v/>
      </c>
      <c r="Z241" s="11">
        <f>IF(OR($S241="未発送",$S241="発送済",$S241="査定済",$S241="入金済"),1,0)</f>
        <v/>
      </c>
      <c r="AA241" s="11">
        <f>IF($U241="",0,1)</f>
        <v/>
      </c>
    </row>
    <row r="242">
      <c r="A242" s="8" t="n"/>
      <c r="B242" s="9" t="n"/>
      <c r="C242" s="10" t="n"/>
      <c r="D242" s="9" t="n"/>
      <c r="E242" s="9" t="n"/>
      <c r="F242" s="9" t="n"/>
      <c r="G242" s="4" t="n"/>
      <c r="H242" s="5" t="n"/>
      <c r="I242" s="4" t="n"/>
      <c r="J242" s="4" t="n"/>
      <c r="K242" s="4" t="n"/>
      <c r="L242" s="11">
        <f>IF($G242="","",IF($F242="",1,MAX(1,COUNTIF($F$6:$F$505,$F242)-COUNTIFS($F$6:$F$505,$F242,$S$6:$S$505,"見送り"))))</f>
        <v/>
      </c>
      <c r="M242" s="12">
        <f>IF($G242="","",IF($K242="",'設定'!$C$6,$K242)/$L242)</f>
        <v/>
      </c>
      <c r="N242" s="12">
        <f>IF(OR($G242="",$I242=""),"",$I242-$G242-$M242-$J242)</f>
        <v/>
      </c>
      <c r="O242" s="13">
        <f>IF($N242="","",IF($G242&gt;0,$N242/$G242,0))</f>
        <v/>
      </c>
      <c r="P242" s="12">
        <f>IF($G242="","",$G242*$H242)</f>
        <v/>
      </c>
      <c r="Q242" s="12">
        <f>IF($N242="","",$N242-$I242*'設定'!$C$7)</f>
        <v/>
      </c>
      <c r="R242" s="14">
        <f>IF($N242="","",IF(AND($N242&gt;='設定'!$C$4,$O242&gt;='設定'!$C$5),IF($Q242&gt;=0,"仕入れOK","OK・下落に弱い"),"見送り"))</f>
        <v/>
      </c>
      <c r="S242" s="9" t="n"/>
      <c r="T242" s="8" t="n"/>
      <c r="U242" s="4" t="n"/>
      <c r="V242" s="8" t="n"/>
      <c r="W242" s="12">
        <f>IF(OR($G242="",$U242=""),"",$U242-$G242-$M242-$J242)</f>
        <v/>
      </c>
      <c r="X242" s="12">
        <f>IF(OR($I242="",$U242=""),"",$I242-$U242)</f>
        <v/>
      </c>
      <c r="Y242" s="11">
        <f>IF(OR($T242="",$V242=""),"",$V242-$T242)</f>
        <v/>
      </c>
      <c r="Z242" s="11">
        <f>IF(OR($S242="未発送",$S242="発送済",$S242="査定済",$S242="入金済"),1,0)</f>
        <v/>
      </c>
      <c r="AA242" s="11">
        <f>IF($U242="",0,1)</f>
        <v/>
      </c>
    </row>
    <row r="243">
      <c r="A243" s="8" t="n"/>
      <c r="B243" s="9" t="n"/>
      <c r="C243" s="10" t="n"/>
      <c r="D243" s="9" t="n"/>
      <c r="E243" s="9" t="n"/>
      <c r="F243" s="9" t="n"/>
      <c r="G243" s="4" t="n"/>
      <c r="H243" s="5" t="n"/>
      <c r="I243" s="4" t="n"/>
      <c r="J243" s="4" t="n"/>
      <c r="K243" s="4" t="n"/>
      <c r="L243" s="11">
        <f>IF($G243="","",IF($F243="",1,MAX(1,COUNTIF($F$6:$F$505,$F243)-COUNTIFS($F$6:$F$505,$F243,$S$6:$S$505,"見送り"))))</f>
        <v/>
      </c>
      <c r="M243" s="12">
        <f>IF($G243="","",IF($K243="",'設定'!$C$6,$K243)/$L243)</f>
        <v/>
      </c>
      <c r="N243" s="12">
        <f>IF(OR($G243="",$I243=""),"",$I243-$G243-$M243-$J243)</f>
        <v/>
      </c>
      <c r="O243" s="13">
        <f>IF($N243="","",IF($G243&gt;0,$N243/$G243,0))</f>
        <v/>
      </c>
      <c r="P243" s="12">
        <f>IF($G243="","",$G243*$H243)</f>
        <v/>
      </c>
      <c r="Q243" s="12">
        <f>IF($N243="","",$N243-$I243*'設定'!$C$7)</f>
        <v/>
      </c>
      <c r="R243" s="14">
        <f>IF($N243="","",IF(AND($N243&gt;='設定'!$C$4,$O243&gt;='設定'!$C$5),IF($Q243&gt;=0,"仕入れOK","OK・下落に弱い"),"見送り"))</f>
        <v/>
      </c>
      <c r="S243" s="9" t="n"/>
      <c r="T243" s="8" t="n"/>
      <c r="U243" s="4" t="n"/>
      <c r="V243" s="8" t="n"/>
      <c r="W243" s="12">
        <f>IF(OR($G243="",$U243=""),"",$U243-$G243-$M243-$J243)</f>
        <v/>
      </c>
      <c r="X243" s="12">
        <f>IF(OR($I243="",$U243=""),"",$I243-$U243)</f>
        <v/>
      </c>
      <c r="Y243" s="11">
        <f>IF(OR($T243="",$V243=""),"",$V243-$T243)</f>
        <v/>
      </c>
      <c r="Z243" s="11">
        <f>IF(OR($S243="未発送",$S243="発送済",$S243="査定済",$S243="入金済"),1,0)</f>
        <v/>
      </c>
      <c r="AA243" s="11">
        <f>IF($U243="",0,1)</f>
        <v/>
      </c>
    </row>
    <row r="244">
      <c r="A244" s="8" t="n"/>
      <c r="B244" s="9" t="n"/>
      <c r="C244" s="10" t="n"/>
      <c r="D244" s="9" t="n"/>
      <c r="E244" s="9" t="n"/>
      <c r="F244" s="9" t="n"/>
      <c r="G244" s="4" t="n"/>
      <c r="H244" s="5" t="n"/>
      <c r="I244" s="4" t="n"/>
      <c r="J244" s="4" t="n"/>
      <c r="K244" s="4" t="n"/>
      <c r="L244" s="11">
        <f>IF($G244="","",IF($F244="",1,MAX(1,COUNTIF($F$6:$F$505,$F244)-COUNTIFS($F$6:$F$505,$F244,$S$6:$S$505,"見送り"))))</f>
        <v/>
      </c>
      <c r="M244" s="12">
        <f>IF($G244="","",IF($K244="",'設定'!$C$6,$K244)/$L244)</f>
        <v/>
      </c>
      <c r="N244" s="12">
        <f>IF(OR($G244="",$I244=""),"",$I244-$G244-$M244-$J244)</f>
        <v/>
      </c>
      <c r="O244" s="13">
        <f>IF($N244="","",IF($G244&gt;0,$N244/$G244,0))</f>
        <v/>
      </c>
      <c r="P244" s="12">
        <f>IF($G244="","",$G244*$H244)</f>
        <v/>
      </c>
      <c r="Q244" s="12">
        <f>IF($N244="","",$N244-$I244*'設定'!$C$7)</f>
        <v/>
      </c>
      <c r="R244" s="14">
        <f>IF($N244="","",IF(AND($N244&gt;='設定'!$C$4,$O244&gt;='設定'!$C$5),IF($Q244&gt;=0,"仕入れOK","OK・下落に弱い"),"見送り"))</f>
        <v/>
      </c>
      <c r="S244" s="9" t="n"/>
      <c r="T244" s="8" t="n"/>
      <c r="U244" s="4" t="n"/>
      <c r="V244" s="8" t="n"/>
      <c r="W244" s="12">
        <f>IF(OR($G244="",$U244=""),"",$U244-$G244-$M244-$J244)</f>
        <v/>
      </c>
      <c r="X244" s="12">
        <f>IF(OR($I244="",$U244=""),"",$I244-$U244)</f>
        <v/>
      </c>
      <c r="Y244" s="11">
        <f>IF(OR($T244="",$V244=""),"",$V244-$T244)</f>
        <v/>
      </c>
      <c r="Z244" s="11">
        <f>IF(OR($S244="未発送",$S244="発送済",$S244="査定済",$S244="入金済"),1,0)</f>
        <v/>
      </c>
      <c r="AA244" s="11">
        <f>IF($U244="",0,1)</f>
        <v/>
      </c>
    </row>
    <row r="245">
      <c r="A245" s="8" t="n"/>
      <c r="B245" s="9" t="n"/>
      <c r="C245" s="10" t="n"/>
      <c r="D245" s="9" t="n"/>
      <c r="E245" s="9" t="n"/>
      <c r="F245" s="9" t="n"/>
      <c r="G245" s="4" t="n"/>
      <c r="H245" s="5" t="n"/>
      <c r="I245" s="4" t="n"/>
      <c r="J245" s="4" t="n"/>
      <c r="K245" s="4" t="n"/>
      <c r="L245" s="11">
        <f>IF($G245="","",IF($F245="",1,MAX(1,COUNTIF($F$6:$F$505,$F245)-COUNTIFS($F$6:$F$505,$F245,$S$6:$S$505,"見送り"))))</f>
        <v/>
      </c>
      <c r="M245" s="12">
        <f>IF($G245="","",IF($K245="",'設定'!$C$6,$K245)/$L245)</f>
        <v/>
      </c>
      <c r="N245" s="12">
        <f>IF(OR($G245="",$I245=""),"",$I245-$G245-$M245-$J245)</f>
        <v/>
      </c>
      <c r="O245" s="13">
        <f>IF($N245="","",IF($G245&gt;0,$N245/$G245,0))</f>
        <v/>
      </c>
      <c r="P245" s="12">
        <f>IF($G245="","",$G245*$H245)</f>
        <v/>
      </c>
      <c r="Q245" s="12">
        <f>IF($N245="","",$N245-$I245*'設定'!$C$7)</f>
        <v/>
      </c>
      <c r="R245" s="14">
        <f>IF($N245="","",IF(AND($N245&gt;='設定'!$C$4,$O245&gt;='設定'!$C$5),IF($Q245&gt;=0,"仕入れOK","OK・下落に弱い"),"見送り"))</f>
        <v/>
      </c>
      <c r="S245" s="9" t="n"/>
      <c r="T245" s="8" t="n"/>
      <c r="U245" s="4" t="n"/>
      <c r="V245" s="8" t="n"/>
      <c r="W245" s="12">
        <f>IF(OR($G245="",$U245=""),"",$U245-$G245-$M245-$J245)</f>
        <v/>
      </c>
      <c r="X245" s="12">
        <f>IF(OR($I245="",$U245=""),"",$I245-$U245)</f>
        <v/>
      </c>
      <c r="Y245" s="11">
        <f>IF(OR($T245="",$V245=""),"",$V245-$T245)</f>
        <v/>
      </c>
      <c r="Z245" s="11">
        <f>IF(OR($S245="未発送",$S245="発送済",$S245="査定済",$S245="入金済"),1,0)</f>
        <v/>
      </c>
      <c r="AA245" s="11">
        <f>IF($U245="",0,1)</f>
        <v/>
      </c>
    </row>
    <row r="246">
      <c r="A246" s="8" t="n"/>
      <c r="B246" s="9" t="n"/>
      <c r="C246" s="10" t="n"/>
      <c r="D246" s="9" t="n"/>
      <c r="E246" s="9" t="n"/>
      <c r="F246" s="9" t="n"/>
      <c r="G246" s="4" t="n"/>
      <c r="H246" s="5" t="n"/>
      <c r="I246" s="4" t="n"/>
      <c r="J246" s="4" t="n"/>
      <c r="K246" s="4" t="n"/>
      <c r="L246" s="11">
        <f>IF($G246="","",IF($F246="",1,MAX(1,COUNTIF($F$6:$F$505,$F246)-COUNTIFS($F$6:$F$505,$F246,$S$6:$S$505,"見送り"))))</f>
        <v/>
      </c>
      <c r="M246" s="12">
        <f>IF($G246="","",IF($K246="",'設定'!$C$6,$K246)/$L246)</f>
        <v/>
      </c>
      <c r="N246" s="12">
        <f>IF(OR($G246="",$I246=""),"",$I246-$G246-$M246-$J246)</f>
        <v/>
      </c>
      <c r="O246" s="13">
        <f>IF($N246="","",IF($G246&gt;0,$N246/$G246,0))</f>
        <v/>
      </c>
      <c r="P246" s="12">
        <f>IF($G246="","",$G246*$H246)</f>
        <v/>
      </c>
      <c r="Q246" s="12">
        <f>IF($N246="","",$N246-$I246*'設定'!$C$7)</f>
        <v/>
      </c>
      <c r="R246" s="14">
        <f>IF($N246="","",IF(AND($N246&gt;='設定'!$C$4,$O246&gt;='設定'!$C$5),IF($Q246&gt;=0,"仕入れOK","OK・下落に弱い"),"見送り"))</f>
        <v/>
      </c>
      <c r="S246" s="9" t="n"/>
      <c r="T246" s="8" t="n"/>
      <c r="U246" s="4" t="n"/>
      <c r="V246" s="8" t="n"/>
      <c r="W246" s="12">
        <f>IF(OR($G246="",$U246=""),"",$U246-$G246-$M246-$J246)</f>
        <v/>
      </c>
      <c r="X246" s="12">
        <f>IF(OR($I246="",$U246=""),"",$I246-$U246)</f>
        <v/>
      </c>
      <c r="Y246" s="11">
        <f>IF(OR($T246="",$V246=""),"",$V246-$T246)</f>
        <v/>
      </c>
      <c r="Z246" s="11">
        <f>IF(OR($S246="未発送",$S246="発送済",$S246="査定済",$S246="入金済"),1,0)</f>
        <v/>
      </c>
      <c r="AA246" s="11">
        <f>IF($U246="",0,1)</f>
        <v/>
      </c>
    </row>
    <row r="247">
      <c r="A247" s="8" t="n"/>
      <c r="B247" s="9" t="n"/>
      <c r="C247" s="10" t="n"/>
      <c r="D247" s="9" t="n"/>
      <c r="E247" s="9" t="n"/>
      <c r="F247" s="9" t="n"/>
      <c r="G247" s="4" t="n"/>
      <c r="H247" s="5" t="n"/>
      <c r="I247" s="4" t="n"/>
      <c r="J247" s="4" t="n"/>
      <c r="K247" s="4" t="n"/>
      <c r="L247" s="11">
        <f>IF($G247="","",IF($F247="",1,MAX(1,COUNTIF($F$6:$F$505,$F247)-COUNTIFS($F$6:$F$505,$F247,$S$6:$S$505,"見送り"))))</f>
        <v/>
      </c>
      <c r="M247" s="12">
        <f>IF($G247="","",IF($K247="",'設定'!$C$6,$K247)/$L247)</f>
        <v/>
      </c>
      <c r="N247" s="12">
        <f>IF(OR($G247="",$I247=""),"",$I247-$G247-$M247-$J247)</f>
        <v/>
      </c>
      <c r="O247" s="13">
        <f>IF($N247="","",IF($G247&gt;0,$N247/$G247,0))</f>
        <v/>
      </c>
      <c r="P247" s="12">
        <f>IF($G247="","",$G247*$H247)</f>
        <v/>
      </c>
      <c r="Q247" s="12">
        <f>IF($N247="","",$N247-$I247*'設定'!$C$7)</f>
        <v/>
      </c>
      <c r="R247" s="14">
        <f>IF($N247="","",IF(AND($N247&gt;='設定'!$C$4,$O247&gt;='設定'!$C$5),IF($Q247&gt;=0,"仕入れOK","OK・下落に弱い"),"見送り"))</f>
        <v/>
      </c>
      <c r="S247" s="9" t="n"/>
      <c r="T247" s="8" t="n"/>
      <c r="U247" s="4" t="n"/>
      <c r="V247" s="8" t="n"/>
      <c r="W247" s="12">
        <f>IF(OR($G247="",$U247=""),"",$U247-$G247-$M247-$J247)</f>
        <v/>
      </c>
      <c r="X247" s="12">
        <f>IF(OR($I247="",$U247=""),"",$I247-$U247)</f>
        <v/>
      </c>
      <c r="Y247" s="11">
        <f>IF(OR($T247="",$V247=""),"",$V247-$T247)</f>
        <v/>
      </c>
      <c r="Z247" s="11">
        <f>IF(OR($S247="未発送",$S247="発送済",$S247="査定済",$S247="入金済"),1,0)</f>
        <v/>
      </c>
      <c r="AA247" s="11">
        <f>IF($U247="",0,1)</f>
        <v/>
      </c>
    </row>
    <row r="248">
      <c r="A248" s="8" t="n"/>
      <c r="B248" s="9" t="n"/>
      <c r="C248" s="10" t="n"/>
      <c r="D248" s="9" t="n"/>
      <c r="E248" s="9" t="n"/>
      <c r="F248" s="9" t="n"/>
      <c r="G248" s="4" t="n"/>
      <c r="H248" s="5" t="n"/>
      <c r="I248" s="4" t="n"/>
      <c r="J248" s="4" t="n"/>
      <c r="K248" s="4" t="n"/>
      <c r="L248" s="11">
        <f>IF($G248="","",IF($F248="",1,MAX(1,COUNTIF($F$6:$F$505,$F248)-COUNTIFS($F$6:$F$505,$F248,$S$6:$S$505,"見送り"))))</f>
        <v/>
      </c>
      <c r="M248" s="12">
        <f>IF($G248="","",IF($K248="",'設定'!$C$6,$K248)/$L248)</f>
        <v/>
      </c>
      <c r="N248" s="12">
        <f>IF(OR($G248="",$I248=""),"",$I248-$G248-$M248-$J248)</f>
        <v/>
      </c>
      <c r="O248" s="13">
        <f>IF($N248="","",IF($G248&gt;0,$N248/$G248,0))</f>
        <v/>
      </c>
      <c r="P248" s="12">
        <f>IF($G248="","",$G248*$H248)</f>
        <v/>
      </c>
      <c r="Q248" s="12">
        <f>IF($N248="","",$N248-$I248*'設定'!$C$7)</f>
        <v/>
      </c>
      <c r="R248" s="14">
        <f>IF($N248="","",IF(AND($N248&gt;='設定'!$C$4,$O248&gt;='設定'!$C$5),IF($Q248&gt;=0,"仕入れOK","OK・下落に弱い"),"見送り"))</f>
        <v/>
      </c>
      <c r="S248" s="9" t="n"/>
      <c r="T248" s="8" t="n"/>
      <c r="U248" s="4" t="n"/>
      <c r="V248" s="8" t="n"/>
      <c r="W248" s="12">
        <f>IF(OR($G248="",$U248=""),"",$U248-$G248-$M248-$J248)</f>
        <v/>
      </c>
      <c r="X248" s="12">
        <f>IF(OR($I248="",$U248=""),"",$I248-$U248)</f>
        <v/>
      </c>
      <c r="Y248" s="11">
        <f>IF(OR($T248="",$V248=""),"",$V248-$T248)</f>
        <v/>
      </c>
      <c r="Z248" s="11">
        <f>IF(OR($S248="未発送",$S248="発送済",$S248="査定済",$S248="入金済"),1,0)</f>
        <v/>
      </c>
      <c r="AA248" s="11">
        <f>IF($U248="",0,1)</f>
        <v/>
      </c>
    </row>
    <row r="249">
      <c r="A249" s="8" t="n"/>
      <c r="B249" s="9" t="n"/>
      <c r="C249" s="10" t="n"/>
      <c r="D249" s="9" t="n"/>
      <c r="E249" s="9" t="n"/>
      <c r="F249" s="9" t="n"/>
      <c r="G249" s="4" t="n"/>
      <c r="H249" s="5" t="n"/>
      <c r="I249" s="4" t="n"/>
      <c r="J249" s="4" t="n"/>
      <c r="K249" s="4" t="n"/>
      <c r="L249" s="11">
        <f>IF($G249="","",IF($F249="",1,MAX(1,COUNTIF($F$6:$F$505,$F249)-COUNTIFS($F$6:$F$505,$F249,$S$6:$S$505,"見送り"))))</f>
        <v/>
      </c>
      <c r="M249" s="12">
        <f>IF($G249="","",IF($K249="",'設定'!$C$6,$K249)/$L249)</f>
        <v/>
      </c>
      <c r="N249" s="12">
        <f>IF(OR($G249="",$I249=""),"",$I249-$G249-$M249-$J249)</f>
        <v/>
      </c>
      <c r="O249" s="13">
        <f>IF($N249="","",IF($G249&gt;0,$N249/$G249,0))</f>
        <v/>
      </c>
      <c r="P249" s="12">
        <f>IF($G249="","",$G249*$H249)</f>
        <v/>
      </c>
      <c r="Q249" s="12">
        <f>IF($N249="","",$N249-$I249*'設定'!$C$7)</f>
        <v/>
      </c>
      <c r="R249" s="14">
        <f>IF($N249="","",IF(AND($N249&gt;='設定'!$C$4,$O249&gt;='設定'!$C$5),IF($Q249&gt;=0,"仕入れOK","OK・下落に弱い"),"見送り"))</f>
        <v/>
      </c>
      <c r="S249" s="9" t="n"/>
      <c r="T249" s="8" t="n"/>
      <c r="U249" s="4" t="n"/>
      <c r="V249" s="8" t="n"/>
      <c r="W249" s="12">
        <f>IF(OR($G249="",$U249=""),"",$U249-$G249-$M249-$J249)</f>
        <v/>
      </c>
      <c r="X249" s="12">
        <f>IF(OR($I249="",$U249=""),"",$I249-$U249)</f>
        <v/>
      </c>
      <c r="Y249" s="11">
        <f>IF(OR($T249="",$V249=""),"",$V249-$T249)</f>
        <v/>
      </c>
      <c r="Z249" s="11">
        <f>IF(OR($S249="未発送",$S249="発送済",$S249="査定済",$S249="入金済"),1,0)</f>
        <v/>
      </c>
      <c r="AA249" s="11">
        <f>IF($U249="",0,1)</f>
        <v/>
      </c>
    </row>
    <row r="250">
      <c r="A250" s="8" t="n"/>
      <c r="B250" s="9" t="n"/>
      <c r="C250" s="10" t="n"/>
      <c r="D250" s="9" t="n"/>
      <c r="E250" s="9" t="n"/>
      <c r="F250" s="9" t="n"/>
      <c r="G250" s="4" t="n"/>
      <c r="H250" s="5" t="n"/>
      <c r="I250" s="4" t="n"/>
      <c r="J250" s="4" t="n"/>
      <c r="K250" s="4" t="n"/>
      <c r="L250" s="11">
        <f>IF($G250="","",IF($F250="",1,MAX(1,COUNTIF($F$6:$F$505,$F250)-COUNTIFS($F$6:$F$505,$F250,$S$6:$S$505,"見送り"))))</f>
        <v/>
      </c>
      <c r="M250" s="12">
        <f>IF($G250="","",IF($K250="",'設定'!$C$6,$K250)/$L250)</f>
        <v/>
      </c>
      <c r="N250" s="12">
        <f>IF(OR($G250="",$I250=""),"",$I250-$G250-$M250-$J250)</f>
        <v/>
      </c>
      <c r="O250" s="13">
        <f>IF($N250="","",IF($G250&gt;0,$N250/$G250,0))</f>
        <v/>
      </c>
      <c r="P250" s="12">
        <f>IF($G250="","",$G250*$H250)</f>
        <v/>
      </c>
      <c r="Q250" s="12">
        <f>IF($N250="","",$N250-$I250*'設定'!$C$7)</f>
        <v/>
      </c>
      <c r="R250" s="14">
        <f>IF($N250="","",IF(AND($N250&gt;='設定'!$C$4,$O250&gt;='設定'!$C$5),IF($Q250&gt;=0,"仕入れOK","OK・下落に弱い"),"見送り"))</f>
        <v/>
      </c>
      <c r="S250" s="9" t="n"/>
      <c r="T250" s="8" t="n"/>
      <c r="U250" s="4" t="n"/>
      <c r="V250" s="8" t="n"/>
      <c r="W250" s="12">
        <f>IF(OR($G250="",$U250=""),"",$U250-$G250-$M250-$J250)</f>
        <v/>
      </c>
      <c r="X250" s="12">
        <f>IF(OR($I250="",$U250=""),"",$I250-$U250)</f>
        <v/>
      </c>
      <c r="Y250" s="11">
        <f>IF(OR($T250="",$V250=""),"",$V250-$T250)</f>
        <v/>
      </c>
      <c r="Z250" s="11">
        <f>IF(OR($S250="未発送",$S250="発送済",$S250="査定済",$S250="入金済"),1,0)</f>
        <v/>
      </c>
      <c r="AA250" s="11">
        <f>IF($U250="",0,1)</f>
        <v/>
      </c>
    </row>
    <row r="251">
      <c r="A251" s="8" t="n"/>
      <c r="B251" s="9" t="n"/>
      <c r="C251" s="10" t="n"/>
      <c r="D251" s="9" t="n"/>
      <c r="E251" s="9" t="n"/>
      <c r="F251" s="9" t="n"/>
      <c r="G251" s="4" t="n"/>
      <c r="H251" s="5" t="n"/>
      <c r="I251" s="4" t="n"/>
      <c r="J251" s="4" t="n"/>
      <c r="K251" s="4" t="n"/>
      <c r="L251" s="11">
        <f>IF($G251="","",IF($F251="",1,MAX(1,COUNTIF($F$6:$F$505,$F251)-COUNTIFS($F$6:$F$505,$F251,$S$6:$S$505,"見送り"))))</f>
        <v/>
      </c>
      <c r="M251" s="12">
        <f>IF($G251="","",IF($K251="",'設定'!$C$6,$K251)/$L251)</f>
        <v/>
      </c>
      <c r="N251" s="12">
        <f>IF(OR($G251="",$I251=""),"",$I251-$G251-$M251-$J251)</f>
        <v/>
      </c>
      <c r="O251" s="13">
        <f>IF($N251="","",IF($G251&gt;0,$N251/$G251,0))</f>
        <v/>
      </c>
      <c r="P251" s="12">
        <f>IF($G251="","",$G251*$H251)</f>
        <v/>
      </c>
      <c r="Q251" s="12">
        <f>IF($N251="","",$N251-$I251*'設定'!$C$7)</f>
        <v/>
      </c>
      <c r="R251" s="14">
        <f>IF($N251="","",IF(AND($N251&gt;='設定'!$C$4,$O251&gt;='設定'!$C$5),IF($Q251&gt;=0,"仕入れOK","OK・下落に弱い"),"見送り"))</f>
        <v/>
      </c>
      <c r="S251" s="9" t="n"/>
      <c r="T251" s="8" t="n"/>
      <c r="U251" s="4" t="n"/>
      <c r="V251" s="8" t="n"/>
      <c r="W251" s="12">
        <f>IF(OR($G251="",$U251=""),"",$U251-$G251-$M251-$J251)</f>
        <v/>
      </c>
      <c r="X251" s="12">
        <f>IF(OR($I251="",$U251=""),"",$I251-$U251)</f>
        <v/>
      </c>
      <c r="Y251" s="11">
        <f>IF(OR($T251="",$V251=""),"",$V251-$T251)</f>
        <v/>
      </c>
      <c r="Z251" s="11">
        <f>IF(OR($S251="未発送",$S251="発送済",$S251="査定済",$S251="入金済"),1,0)</f>
        <v/>
      </c>
      <c r="AA251" s="11">
        <f>IF($U251="",0,1)</f>
        <v/>
      </c>
    </row>
    <row r="252">
      <c r="A252" s="8" t="n"/>
      <c r="B252" s="9" t="n"/>
      <c r="C252" s="10" t="n"/>
      <c r="D252" s="9" t="n"/>
      <c r="E252" s="9" t="n"/>
      <c r="F252" s="9" t="n"/>
      <c r="G252" s="4" t="n"/>
      <c r="H252" s="5" t="n"/>
      <c r="I252" s="4" t="n"/>
      <c r="J252" s="4" t="n"/>
      <c r="K252" s="4" t="n"/>
      <c r="L252" s="11">
        <f>IF($G252="","",IF($F252="",1,MAX(1,COUNTIF($F$6:$F$505,$F252)-COUNTIFS($F$6:$F$505,$F252,$S$6:$S$505,"見送り"))))</f>
        <v/>
      </c>
      <c r="M252" s="12">
        <f>IF($G252="","",IF($K252="",'設定'!$C$6,$K252)/$L252)</f>
        <v/>
      </c>
      <c r="N252" s="12">
        <f>IF(OR($G252="",$I252=""),"",$I252-$G252-$M252-$J252)</f>
        <v/>
      </c>
      <c r="O252" s="13">
        <f>IF($N252="","",IF($G252&gt;0,$N252/$G252,0))</f>
        <v/>
      </c>
      <c r="P252" s="12">
        <f>IF($G252="","",$G252*$H252)</f>
        <v/>
      </c>
      <c r="Q252" s="12">
        <f>IF($N252="","",$N252-$I252*'設定'!$C$7)</f>
        <v/>
      </c>
      <c r="R252" s="14">
        <f>IF($N252="","",IF(AND($N252&gt;='設定'!$C$4,$O252&gt;='設定'!$C$5),IF($Q252&gt;=0,"仕入れOK","OK・下落に弱い"),"見送り"))</f>
        <v/>
      </c>
      <c r="S252" s="9" t="n"/>
      <c r="T252" s="8" t="n"/>
      <c r="U252" s="4" t="n"/>
      <c r="V252" s="8" t="n"/>
      <c r="W252" s="12">
        <f>IF(OR($G252="",$U252=""),"",$U252-$G252-$M252-$J252)</f>
        <v/>
      </c>
      <c r="X252" s="12">
        <f>IF(OR($I252="",$U252=""),"",$I252-$U252)</f>
        <v/>
      </c>
      <c r="Y252" s="11">
        <f>IF(OR($T252="",$V252=""),"",$V252-$T252)</f>
        <v/>
      </c>
      <c r="Z252" s="11">
        <f>IF(OR($S252="未発送",$S252="発送済",$S252="査定済",$S252="入金済"),1,0)</f>
        <v/>
      </c>
      <c r="AA252" s="11">
        <f>IF($U252="",0,1)</f>
        <v/>
      </c>
    </row>
    <row r="253">
      <c r="A253" s="8" t="n"/>
      <c r="B253" s="9" t="n"/>
      <c r="C253" s="10" t="n"/>
      <c r="D253" s="9" t="n"/>
      <c r="E253" s="9" t="n"/>
      <c r="F253" s="9" t="n"/>
      <c r="G253" s="4" t="n"/>
      <c r="H253" s="5" t="n"/>
      <c r="I253" s="4" t="n"/>
      <c r="J253" s="4" t="n"/>
      <c r="K253" s="4" t="n"/>
      <c r="L253" s="11">
        <f>IF($G253="","",IF($F253="",1,MAX(1,COUNTIF($F$6:$F$505,$F253)-COUNTIFS($F$6:$F$505,$F253,$S$6:$S$505,"見送り"))))</f>
        <v/>
      </c>
      <c r="M253" s="12">
        <f>IF($G253="","",IF($K253="",'設定'!$C$6,$K253)/$L253)</f>
        <v/>
      </c>
      <c r="N253" s="12">
        <f>IF(OR($G253="",$I253=""),"",$I253-$G253-$M253-$J253)</f>
        <v/>
      </c>
      <c r="O253" s="13">
        <f>IF($N253="","",IF($G253&gt;0,$N253/$G253,0))</f>
        <v/>
      </c>
      <c r="P253" s="12">
        <f>IF($G253="","",$G253*$H253)</f>
        <v/>
      </c>
      <c r="Q253" s="12">
        <f>IF($N253="","",$N253-$I253*'設定'!$C$7)</f>
        <v/>
      </c>
      <c r="R253" s="14">
        <f>IF($N253="","",IF(AND($N253&gt;='設定'!$C$4,$O253&gt;='設定'!$C$5),IF($Q253&gt;=0,"仕入れOK","OK・下落に弱い"),"見送り"))</f>
        <v/>
      </c>
      <c r="S253" s="9" t="n"/>
      <c r="T253" s="8" t="n"/>
      <c r="U253" s="4" t="n"/>
      <c r="V253" s="8" t="n"/>
      <c r="W253" s="12">
        <f>IF(OR($G253="",$U253=""),"",$U253-$G253-$M253-$J253)</f>
        <v/>
      </c>
      <c r="X253" s="12">
        <f>IF(OR($I253="",$U253=""),"",$I253-$U253)</f>
        <v/>
      </c>
      <c r="Y253" s="11">
        <f>IF(OR($T253="",$V253=""),"",$V253-$T253)</f>
        <v/>
      </c>
      <c r="Z253" s="11">
        <f>IF(OR($S253="未発送",$S253="発送済",$S253="査定済",$S253="入金済"),1,0)</f>
        <v/>
      </c>
      <c r="AA253" s="11">
        <f>IF($U253="",0,1)</f>
        <v/>
      </c>
    </row>
    <row r="254">
      <c r="A254" s="8" t="n"/>
      <c r="B254" s="9" t="n"/>
      <c r="C254" s="10" t="n"/>
      <c r="D254" s="9" t="n"/>
      <c r="E254" s="9" t="n"/>
      <c r="F254" s="9" t="n"/>
      <c r="G254" s="4" t="n"/>
      <c r="H254" s="5" t="n"/>
      <c r="I254" s="4" t="n"/>
      <c r="J254" s="4" t="n"/>
      <c r="K254" s="4" t="n"/>
      <c r="L254" s="11">
        <f>IF($G254="","",IF($F254="",1,MAX(1,COUNTIF($F$6:$F$505,$F254)-COUNTIFS($F$6:$F$505,$F254,$S$6:$S$505,"見送り"))))</f>
        <v/>
      </c>
      <c r="M254" s="12">
        <f>IF($G254="","",IF($K254="",'設定'!$C$6,$K254)/$L254)</f>
        <v/>
      </c>
      <c r="N254" s="12">
        <f>IF(OR($G254="",$I254=""),"",$I254-$G254-$M254-$J254)</f>
        <v/>
      </c>
      <c r="O254" s="13">
        <f>IF($N254="","",IF($G254&gt;0,$N254/$G254,0))</f>
        <v/>
      </c>
      <c r="P254" s="12">
        <f>IF($G254="","",$G254*$H254)</f>
        <v/>
      </c>
      <c r="Q254" s="12">
        <f>IF($N254="","",$N254-$I254*'設定'!$C$7)</f>
        <v/>
      </c>
      <c r="R254" s="14">
        <f>IF($N254="","",IF(AND($N254&gt;='設定'!$C$4,$O254&gt;='設定'!$C$5),IF($Q254&gt;=0,"仕入れOK","OK・下落に弱い"),"見送り"))</f>
        <v/>
      </c>
      <c r="S254" s="9" t="n"/>
      <c r="T254" s="8" t="n"/>
      <c r="U254" s="4" t="n"/>
      <c r="V254" s="8" t="n"/>
      <c r="W254" s="12">
        <f>IF(OR($G254="",$U254=""),"",$U254-$G254-$M254-$J254)</f>
        <v/>
      </c>
      <c r="X254" s="12">
        <f>IF(OR($I254="",$U254=""),"",$I254-$U254)</f>
        <v/>
      </c>
      <c r="Y254" s="11">
        <f>IF(OR($T254="",$V254=""),"",$V254-$T254)</f>
        <v/>
      </c>
      <c r="Z254" s="11">
        <f>IF(OR($S254="未発送",$S254="発送済",$S254="査定済",$S254="入金済"),1,0)</f>
        <v/>
      </c>
      <c r="AA254" s="11">
        <f>IF($U254="",0,1)</f>
        <v/>
      </c>
    </row>
    <row r="255">
      <c r="A255" s="8" t="n"/>
      <c r="B255" s="9" t="n"/>
      <c r="C255" s="10" t="n"/>
      <c r="D255" s="9" t="n"/>
      <c r="E255" s="9" t="n"/>
      <c r="F255" s="9" t="n"/>
      <c r="G255" s="4" t="n"/>
      <c r="H255" s="5" t="n"/>
      <c r="I255" s="4" t="n"/>
      <c r="J255" s="4" t="n"/>
      <c r="K255" s="4" t="n"/>
      <c r="L255" s="11">
        <f>IF($G255="","",IF($F255="",1,MAX(1,COUNTIF($F$6:$F$505,$F255)-COUNTIFS($F$6:$F$505,$F255,$S$6:$S$505,"見送り"))))</f>
        <v/>
      </c>
      <c r="M255" s="12">
        <f>IF($G255="","",IF($K255="",'設定'!$C$6,$K255)/$L255)</f>
        <v/>
      </c>
      <c r="N255" s="12">
        <f>IF(OR($G255="",$I255=""),"",$I255-$G255-$M255-$J255)</f>
        <v/>
      </c>
      <c r="O255" s="13">
        <f>IF($N255="","",IF($G255&gt;0,$N255/$G255,0))</f>
        <v/>
      </c>
      <c r="P255" s="12">
        <f>IF($G255="","",$G255*$H255)</f>
        <v/>
      </c>
      <c r="Q255" s="12">
        <f>IF($N255="","",$N255-$I255*'設定'!$C$7)</f>
        <v/>
      </c>
      <c r="R255" s="14">
        <f>IF($N255="","",IF(AND($N255&gt;='設定'!$C$4,$O255&gt;='設定'!$C$5),IF($Q255&gt;=0,"仕入れOK","OK・下落に弱い"),"見送り"))</f>
        <v/>
      </c>
      <c r="S255" s="9" t="n"/>
      <c r="T255" s="8" t="n"/>
      <c r="U255" s="4" t="n"/>
      <c r="V255" s="8" t="n"/>
      <c r="W255" s="12">
        <f>IF(OR($G255="",$U255=""),"",$U255-$G255-$M255-$J255)</f>
        <v/>
      </c>
      <c r="X255" s="12">
        <f>IF(OR($I255="",$U255=""),"",$I255-$U255)</f>
        <v/>
      </c>
      <c r="Y255" s="11">
        <f>IF(OR($T255="",$V255=""),"",$V255-$T255)</f>
        <v/>
      </c>
      <c r="Z255" s="11">
        <f>IF(OR($S255="未発送",$S255="発送済",$S255="査定済",$S255="入金済"),1,0)</f>
        <v/>
      </c>
      <c r="AA255" s="11">
        <f>IF($U255="",0,1)</f>
        <v/>
      </c>
    </row>
    <row r="256">
      <c r="A256" s="8" t="n"/>
      <c r="B256" s="9" t="n"/>
      <c r="C256" s="10" t="n"/>
      <c r="D256" s="9" t="n"/>
      <c r="E256" s="9" t="n"/>
      <c r="F256" s="9" t="n"/>
      <c r="G256" s="4" t="n"/>
      <c r="H256" s="5" t="n"/>
      <c r="I256" s="4" t="n"/>
      <c r="J256" s="4" t="n"/>
      <c r="K256" s="4" t="n"/>
      <c r="L256" s="11">
        <f>IF($G256="","",IF($F256="",1,MAX(1,COUNTIF($F$6:$F$505,$F256)-COUNTIFS($F$6:$F$505,$F256,$S$6:$S$505,"見送り"))))</f>
        <v/>
      </c>
      <c r="M256" s="12">
        <f>IF($G256="","",IF($K256="",'設定'!$C$6,$K256)/$L256)</f>
        <v/>
      </c>
      <c r="N256" s="12">
        <f>IF(OR($G256="",$I256=""),"",$I256-$G256-$M256-$J256)</f>
        <v/>
      </c>
      <c r="O256" s="13">
        <f>IF($N256="","",IF($G256&gt;0,$N256/$G256,0))</f>
        <v/>
      </c>
      <c r="P256" s="12">
        <f>IF($G256="","",$G256*$H256)</f>
        <v/>
      </c>
      <c r="Q256" s="12">
        <f>IF($N256="","",$N256-$I256*'設定'!$C$7)</f>
        <v/>
      </c>
      <c r="R256" s="14">
        <f>IF($N256="","",IF(AND($N256&gt;='設定'!$C$4,$O256&gt;='設定'!$C$5),IF($Q256&gt;=0,"仕入れOK","OK・下落に弱い"),"見送り"))</f>
        <v/>
      </c>
      <c r="S256" s="9" t="n"/>
      <c r="T256" s="8" t="n"/>
      <c r="U256" s="4" t="n"/>
      <c r="V256" s="8" t="n"/>
      <c r="W256" s="12">
        <f>IF(OR($G256="",$U256=""),"",$U256-$G256-$M256-$J256)</f>
        <v/>
      </c>
      <c r="X256" s="12">
        <f>IF(OR($I256="",$U256=""),"",$I256-$U256)</f>
        <v/>
      </c>
      <c r="Y256" s="11">
        <f>IF(OR($T256="",$V256=""),"",$V256-$T256)</f>
        <v/>
      </c>
      <c r="Z256" s="11">
        <f>IF(OR($S256="未発送",$S256="発送済",$S256="査定済",$S256="入金済"),1,0)</f>
        <v/>
      </c>
      <c r="AA256" s="11">
        <f>IF($U256="",0,1)</f>
        <v/>
      </c>
    </row>
    <row r="257">
      <c r="A257" s="8" t="n"/>
      <c r="B257" s="9" t="n"/>
      <c r="C257" s="10" t="n"/>
      <c r="D257" s="9" t="n"/>
      <c r="E257" s="9" t="n"/>
      <c r="F257" s="9" t="n"/>
      <c r="G257" s="4" t="n"/>
      <c r="H257" s="5" t="n"/>
      <c r="I257" s="4" t="n"/>
      <c r="J257" s="4" t="n"/>
      <c r="K257" s="4" t="n"/>
      <c r="L257" s="11">
        <f>IF($G257="","",IF($F257="",1,MAX(1,COUNTIF($F$6:$F$505,$F257)-COUNTIFS($F$6:$F$505,$F257,$S$6:$S$505,"見送り"))))</f>
        <v/>
      </c>
      <c r="M257" s="12">
        <f>IF($G257="","",IF($K257="",'設定'!$C$6,$K257)/$L257)</f>
        <v/>
      </c>
      <c r="N257" s="12">
        <f>IF(OR($G257="",$I257=""),"",$I257-$G257-$M257-$J257)</f>
        <v/>
      </c>
      <c r="O257" s="13">
        <f>IF($N257="","",IF($G257&gt;0,$N257/$G257,0))</f>
        <v/>
      </c>
      <c r="P257" s="12">
        <f>IF($G257="","",$G257*$H257)</f>
        <v/>
      </c>
      <c r="Q257" s="12">
        <f>IF($N257="","",$N257-$I257*'設定'!$C$7)</f>
        <v/>
      </c>
      <c r="R257" s="14">
        <f>IF($N257="","",IF(AND($N257&gt;='設定'!$C$4,$O257&gt;='設定'!$C$5),IF($Q257&gt;=0,"仕入れOK","OK・下落に弱い"),"見送り"))</f>
        <v/>
      </c>
      <c r="S257" s="9" t="n"/>
      <c r="T257" s="8" t="n"/>
      <c r="U257" s="4" t="n"/>
      <c r="V257" s="8" t="n"/>
      <c r="W257" s="12">
        <f>IF(OR($G257="",$U257=""),"",$U257-$G257-$M257-$J257)</f>
        <v/>
      </c>
      <c r="X257" s="12">
        <f>IF(OR($I257="",$U257=""),"",$I257-$U257)</f>
        <v/>
      </c>
      <c r="Y257" s="11">
        <f>IF(OR($T257="",$V257=""),"",$V257-$T257)</f>
        <v/>
      </c>
      <c r="Z257" s="11">
        <f>IF(OR($S257="未発送",$S257="発送済",$S257="査定済",$S257="入金済"),1,0)</f>
        <v/>
      </c>
      <c r="AA257" s="11">
        <f>IF($U257="",0,1)</f>
        <v/>
      </c>
    </row>
    <row r="258">
      <c r="A258" s="8" t="n"/>
      <c r="B258" s="9" t="n"/>
      <c r="C258" s="10" t="n"/>
      <c r="D258" s="9" t="n"/>
      <c r="E258" s="9" t="n"/>
      <c r="F258" s="9" t="n"/>
      <c r="G258" s="4" t="n"/>
      <c r="H258" s="5" t="n"/>
      <c r="I258" s="4" t="n"/>
      <c r="J258" s="4" t="n"/>
      <c r="K258" s="4" t="n"/>
      <c r="L258" s="11">
        <f>IF($G258="","",IF($F258="",1,MAX(1,COUNTIF($F$6:$F$505,$F258)-COUNTIFS($F$6:$F$505,$F258,$S$6:$S$505,"見送り"))))</f>
        <v/>
      </c>
      <c r="M258" s="12">
        <f>IF($G258="","",IF($K258="",'設定'!$C$6,$K258)/$L258)</f>
        <v/>
      </c>
      <c r="N258" s="12">
        <f>IF(OR($G258="",$I258=""),"",$I258-$G258-$M258-$J258)</f>
        <v/>
      </c>
      <c r="O258" s="13">
        <f>IF($N258="","",IF($G258&gt;0,$N258/$G258,0))</f>
        <v/>
      </c>
      <c r="P258" s="12">
        <f>IF($G258="","",$G258*$H258)</f>
        <v/>
      </c>
      <c r="Q258" s="12">
        <f>IF($N258="","",$N258-$I258*'設定'!$C$7)</f>
        <v/>
      </c>
      <c r="R258" s="14">
        <f>IF($N258="","",IF(AND($N258&gt;='設定'!$C$4,$O258&gt;='設定'!$C$5),IF($Q258&gt;=0,"仕入れOK","OK・下落に弱い"),"見送り"))</f>
        <v/>
      </c>
      <c r="S258" s="9" t="n"/>
      <c r="T258" s="8" t="n"/>
      <c r="U258" s="4" t="n"/>
      <c r="V258" s="8" t="n"/>
      <c r="W258" s="12">
        <f>IF(OR($G258="",$U258=""),"",$U258-$G258-$M258-$J258)</f>
        <v/>
      </c>
      <c r="X258" s="12">
        <f>IF(OR($I258="",$U258=""),"",$I258-$U258)</f>
        <v/>
      </c>
      <c r="Y258" s="11">
        <f>IF(OR($T258="",$V258=""),"",$V258-$T258)</f>
        <v/>
      </c>
      <c r="Z258" s="11">
        <f>IF(OR($S258="未発送",$S258="発送済",$S258="査定済",$S258="入金済"),1,0)</f>
        <v/>
      </c>
      <c r="AA258" s="11">
        <f>IF($U258="",0,1)</f>
        <v/>
      </c>
    </row>
    <row r="259">
      <c r="A259" s="8" t="n"/>
      <c r="B259" s="9" t="n"/>
      <c r="C259" s="10" t="n"/>
      <c r="D259" s="9" t="n"/>
      <c r="E259" s="9" t="n"/>
      <c r="F259" s="9" t="n"/>
      <c r="G259" s="4" t="n"/>
      <c r="H259" s="5" t="n"/>
      <c r="I259" s="4" t="n"/>
      <c r="J259" s="4" t="n"/>
      <c r="K259" s="4" t="n"/>
      <c r="L259" s="11">
        <f>IF($G259="","",IF($F259="",1,MAX(1,COUNTIF($F$6:$F$505,$F259)-COUNTIFS($F$6:$F$505,$F259,$S$6:$S$505,"見送り"))))</f>
        <v/>
      </c>
      <c r="M259" s="12">
        <f>IF($G259="","",IF($K259="",'設定'!$C$6,$K259)/$L259)</f>
        <v/>
      </c>
      <c r="N259" s="12">
        <f>IF(OR($G259="",$I259=""),"",$I259-$G259-$M259-$J259)</f>
        <v/>
      </c>
      <c r="O259" s="13">
        <f>IF($N259="","",IF($G259&gt;0,$N259/$G259,0))</f>
        <v/>
      </c>
      <c r="P259" s="12">
        <f>IF($G259="","",$G259*$H259)</f>
        <v/>
      </c>
      <c r="Q259" s="12">
        <f>IF($N259="","",$N259-$I259*'設定'!$C$7)</f>
        <v/>
      </c>
      <c r="R259" s="14">
        <f>IF($N259="","",IF(AND($N259&gt;='設定'!$C$4,$O259&gt;='設定'!$C$5),IF($Q259&gt;=0,"仕入れOK","OK・下落に弱い"),"見送り"))</f>
        <v/>
      </c>
      <c r="S259" s="9" t="n"/>
      <c r="T259" s="8" t="n"/>
      <c r="U259" s="4" t="n"/>
      <c r="V259" s="8" t="n"/>
      <c r="W259" s="12">
        <f>IF(OR($G259="",$U259=""),"",$U259-$G259-$M259-$J259)</f>
        <v/>
      </c>
      <c r="X259" s="12">
        <f>IF(OR($I259="",$U259=""),"",$I259-$U259)</f>
        <v/>
      </c>
      <c r="Y259" s="11">
        <f>IF(OR($T259="",$V259=""),"",$V259-$T259)</f>
        <v/>
      </c>
      <c r="Z259" s="11">
        <f>IF(OR($S259="未発送",$S259="発送済",$S259="査定済",$S259="入金済"),1,0)</f>
        <v/>
      </c>
      <c r="AA259" s="11">
        <f>IF($U259="",0,1)</f>
        <v/>
      </c>
    </row>
    <row r="260">
      <c r="A260" s="8" t="n"/>
      <c r="B260" s="9" t="n"/>
      <c r="C260" s="10" t="n"/>
      <c r="D260" s="9" t="n"/>
      <c r="E260" s="9" t="n"/>
      <c r="F260" s="9" t="n"/>
      <c r="G260" s="4" t="n"/>
      <c r="H260" s="5" t="n"/>
      <c r="I260" s="4" t="n"/>
      <c r="J260" s="4" t="n"/>
      <c r="K260" s="4" t="n"/>
      <c r="L260" s="11">
        <f>IF($G260="","",IF($F260="",1,MAX(1,COUNTIF($F$6:$F$505,$F260)-COUNTIFS($F$6:$F$505,$F260,$S$6:$S$505,"見送り"))))</f>
        <v/>
      </c>
      <c r="M260" s="12">
        <f>IF($G260="","",IF($K260="",'設定'!$C$6,$K260)/$L260)</f>
        <v/>
      </c>
      <c r="N260" s="12">
        <f>IF(OR($G260="",$I260=""),"",$I260-$G260-$M260-$J260)</f>
        <v/>
      </c>
      <c r="O260" s="13">
        <f>IF($N260="","",IF($G260&gt;0,$N260/$G260,0))</f>
        <v/>
      </c>
      <c r="P260" s="12">
        <f>IF($G260="","",$G260*$H260)</f>
        <v/>
      </c>
      <c r="Q260" s="12">
        <f>IF($N260="","",$N260-$I260*'設定'!$C$7)</f>
        <v/>
      </c>
      <c r="R260" s="14">
        <f>IF($N260="","",IF(AND($N260&gt;='設定'!$C$4,$O260&gt;='設定'!$C$5),IF($Q260&gt;=0,"仕入れOK","OK・下落に弱い"),"見送り"))</f>
        <v/>
      </c>
      <c r="S260" s="9" t="n"/>
      <c r="T260" s="8" t="n"/>
      <c r="U260" s="4" t="n"/>
      <c r="V260" s="8" t="n"/>
      <c r="W260" s="12">
        <f>IF(OR($G260="",$U260=""),"",$U260-$G260-$M260-$J260)</f>
        <v/>
      </c>
      <c r="X260" s="12">
        <f>IF(OR($I260="",$U260=""),"",$I260-$U260)</f>
        <v/>
      </c>
      <c r="Y260" s="11">
        <f>IF(OR($T260="",$V260=""),"",$V260-$T260)</f>
        <v/>
      </c>
      <c r="Z260" s="11">
        <f>IF(OR($S260="未発送",$S260="発送済",$S260="査定済",$S260="入金済"),1,0)</f>
        <v/>
      </c>
      <c r="AA260" s="11">
        <f>IF($U260="",0,1)</f>
        <v/>
      </c>
    </row>
    <row r="261">
      <c r="A261" s="8" t="n"/>
      <c r="B261" s="9" t="n"/>
      <c r="C261" s="10" t="n"/>
      <c r="D261" s="9" t="n"/>
      <c r="E261" s="9" t="n"/>
      <c r="F261" s="9" t="n"/>
      <c r="G261" s="4" t="n"/>
      <c r="H261" s="5" t="n"/>
      <c r="I261" s="4" t="n"/>
      <c r="J261" s="4" t="n"/>
      <c r="K261" s="4" t="n"/>
      <c r="L261" s="11">
        <f>IF($G261="","",IF($F261="",1,MAX(1,COUNTIF($F$6:$F$505,$F261)-COUNTIFS($F$6:$F$505,$F261,$S$6:$S$505,"見送り"))))</f>
        <v/>
      </c>
      <c r="M261" s="12">
        <f>IF($G261="","",IF($K261="",'設定'!$C$6,$K261)/$L261)</f>
        <v/>
      </c>
      <c r="N261" s="12">
        <f>IF(OR($G261="",$I261=""),"",$I261-$G261-$M261-$J261)</f>
        <v/>
      </c>
      <c r="O261" s="13">
        <f>IF($N261="","",IF($G261&gt;0,$N261/$G261,0))</f>
        <v/>
      </c>
      <c r="P261" s="12">
        <f>IF($G261="","",$G261*$H261)</f>
        <v/>
      </c>
      <c r="Q261" s="12">
        <f>IF($N261="","",$N261-$I261*'設定'!$C$7)</f>
        <v/>
      </c>
      <c r="R261" s="14">
        <f>IF($N261="","",IF(AND($N261&gt;='設定'!$C$4,$O261&gt;='設定'!$C$5),IF($Q261&gt;=0,"仕入れOK","OK・下落に弱い"),"見送り"))</f>
        <v/>
      </c>
      <c r="S261" s="9" t="n"/>
      <c r="T261" s="8" t="n"/>
      <c r="U261" s="4" t="n"/>
      <c r="V261" s="8" t="n"/>
      <c r="W261" s="12">
        <f>IF(OR($G261="",$U261=""),"",$U261-$G261-$M261-$J261)</f>
        <v/>
      </c>
      <c r="X261" s="12">
        <f>IF(OR($I261="",$U261=""),"",$I261-$U261)</f>
        <v/>
      </c>
      <c r="Y261" s="11">
        <f>IF(OR($T261="",$V261=""),"",$V261-$T261)</f>
        <v/>
      </c>
      <c r="Z261" s="11">
        <f>IF(OR($S261="未発送",$S261="発送済",$S261="査定済",$S261="入金済"),1,0)</f>
        <v/>
      </c>
      <c r="AA261" s="11">
        <f>IF($U261="",0,1)</f>
        <v/>
      </c>
    </row>
    <row r="262">
      <c r="A262" s="8" t="n"/>
      <c r="B262" s="9" t="n"/>
      <c r="C262" s="10" t="n"/>
      <c r="D262" s="9" t="n"/>
      <c r="E262" s="9" t="n"/>
      <c r="F262" s="9" t="n"/>
      <c r="G262" s="4" t="n"/>
      <c r="H262" s="5" t="n"/>
      <c r="I262" s="4" t="n"/>
      <c r="J262" s="4" t="n"/>
      <c r="K262" s="4" t="n"/>
      <c r="L262" s="11">
        <f>IF($G262="","",IF($F262="",1,MAX(1,COUNTIF($F$6:$F$505,$F262)-COUNTIFS($F$6:$F$505,$F262,$S$6:$S$505,"見送り"))))</f>
        <v/>
      </c>
      <c r="M262" s="12">
        <f>IF($G262="","",IF($K262="",'設定'!$C$6,$K262)/$L262)</f>
        <v/>
      </c>
      <c r="N262" s="12">
        <f>IF(OR($G262="",$I262=""),"",$I262-$G262-$M262-$J262)</f>
        <v/>
      </c>
      <c r="O262" s="13">
        <f>IF($N262="","",IF($G262&gt;0,$N262/$G262,0))</f>
        <v/>
      </c>
      <c r="P262" s="12">
        <f>IF($G262="","",$G262*$H262)</f>
        <v/>
      </c>
      <c r="Q262" s="12">
        <f>IF($N262="","",$N262-$I262*'設定'!$C$7)</f>
        <v/>
      </c>
      <c r="R262" s="14">
        <f>IF($N262="","",IF(AND($N262&gt;='設定'!$C$4,$O262&gt;='設定'!$C$5),IF($Q262&gt;=0,"仕入れOK","OK・下落に弱い"),"見送り"))</f>
        <v/>
      </c>
      <c r="S262" s="9" t="n"/>
      <c r="T262" s="8" t="n"/>
      <c r="U262" s="4" t="n"/>
      <c r="V262" s="8" t="n"/>
      <c r="W262" s="12">
        <f>IF(OR($G262="",$U262=""),"",$U262-$G262-$M262-$J262)</f>
        <v/>
      </c>
      <c r="X262" s="12">
        <f>IF(OR($I262="",$U262=""),"",$I262-$U262)</f>
        <v/>
      </c>
      <c r="Y262" s="11">
        <f>IF(OR($T262="",$V262=""),"",$V262-$T262)</f>
        <v/>
      </c>
      <c r="Z262" s="11">
        <f>IF(OR($S262="未発送",$S262="発送済",$S262="査定済",$S262="入金済"),1,0)</f>
        <v/>
      </c>
      <c r="AA262" s="11">
        <f>IF($U262="",0,1)</f>
        <v/>
      </c>
    </row>
    <row r="263">
      <c r="A263" s="8" t="n"/>
      <c r="B263" s="9" t="n"/>
      <c r="C263" s="10" t="n"/>
      <c r="D263" s="9" t="n"/>
      <c r="E263" s="9" t="n"/>
      <c r="F263" s="9" t="n"/>
      <c r="G263" s="4" t="n"/>
      <c r="H263" s="5" t="n"/>
      <c r="I263" s="4" t="n"/>
      <c r="J263" s="4" t="n"/>
      <c r="K263" s="4" t="n"/>
      <c r="L263" s="11">
        <f>IF($G263="","",IF($F263="",1,MAX(1,COUNTIF($F$6:$F$505,$F263)-COUNTIFS($F$6:$F$505,$F263,$S$6:$S$505,"見送り"))))</f>
        <v/>
      </c>
      <c r="M263" s="12">
        <f>IF($G263="","",IF($K263="",'設定'!$C$6,$K263)/$L263)</f>
        <v/>
      </c>
      <c r="N263" s="12">
        <f>IF(OR($G263="",$I263=""),"",$I263-$G263-$M263-$J263)</f>
        <v/>
      </c>
      <c r="O263" s="13">
        <f>IF($N263="","",IF($G263&gt;0,$N263/$G263,0))</f>
        <v/>
      </c>
      <c r="P263" s="12">
        <f>IF($G263="","",$G263*$H263)</f>
        <v/>
      </c>
      <c r="Q263" s="12">
        <f>IF($N263="","",$N263-$I263*'設定'!$C$7)</f>
        <v/>
      </c>
      <c r="R263" s="14">
        <f>IF($N263="","",IF(AND($N263&gt;='設定'!$C$4,$O263&gt;='設定'!$C$5),IF($Q263&gt;=0,"仕入れOK","OK・下落に弱い"),"見送り"))</f>
        <v/>
      </c>
      <c r="S263" s="9" t="n"/>
      <c r="T263" s="8" t="n"/>
      <c r="U263" s="4" t="n"/>
      <c r="V263" s="8" t="n"/>
      <c r="W263" s="12">
        <f>IF(OR($G263="",$U263=""),"",$U263-$G263-$M263-$J263)</f>
        <v/>
      </c>
      <c r="X263" s="12">
        <f>IF(OR($I263="",$U263=""),"",$I263-$U263)</f>
        <v/>
      </c>
      <c r="Y263" s="11">
        <f>IF(OR($T263="",$V263=""),"",$V263-$T263)</f>
        <v/>
      </c>
      <c r="Z263" s="11">
        <f>IF(OR($S263="未発送",$S263="発送済",$S263="査定済",$S263="入金済"),1,0)</f>
        <v/>
      </c>
      <c r="AA263" s="11">
        <f>IF($U263="",0,1)</f>
        <v/>
      </c>
    </row>
    <row r="264">
      <c r="A264" s="8" t="n"/>
      <c r="B264" s="9" t="n"/>
      <c r="C264" s="10" t="n"/>
      <c r="D264" s="9" t="n"/>
      <c r="E264" s="9" t="n"/>
      <c r="F264" s="9" t="n"/>
      <c r="G264" s="4" t="n"/>
      <c r="H264" s="5" t="n"/>
      <c r="I264" s="4" t="n"/>
      <c r="J264" s="4" t="n"/>
      <c r="K264" s="4" t="n"/>
      <c r="L264" s="11">
        <f>IF($G264="","",IF($F264="",1,MAX(1,COUNTIF($F$6:$F$505,$F264)-COUNTIFS($F$6:$F$505,$F264,$S$6:$S$505,"見送り"))))</f>
        <v/>
      </c>
      <c r="M264" s="12">
        <f>IF($G264="","",IF($K264="",'設定'!$C$6,$K264)/$L264)</f>
        <v/>
      </c>
      <c r="N264" s="12">
        <f>IF(OR($G264="",$I264=""),"",$I264-$G264-$M264-$J264)</f>
        <v/>
      </c>
      <c r="O264" s="13">
        <f>IF($N264="","",IF($G264&gt;0,$N264/$G264,0))</f>
        <v/>
      </c>
      <c r="P264" s="12">
        <f>IF($G264="","",$G264*$H264)</f>
        <v/>
      </c>
      <c r="Q264" s="12">
        <f>IF($N264="","",$N264-$I264*'設定'!$C$7)</f>
        <v/>
      </c>
      <c r="R264" s="14">
        <f>IF($N264="","",IF(AND($N264&gt;='設定'!$C$4,$O264&gt;='設定'!$C$5),IF($Q264&gt;=0,"仕入れOK","OK・下落に弱い"),"見送り"))</f>
        <v/>
      </c>
      <c r="S264" s="9" t="n"/>
      <c r="T264" s="8" t="n"/>
      <c r="U264" s="4" t="n"/>
      <c r="V264" s="8" t="n"/>
      <c r="W264" s="12">
        <f>IF(OR($G264="",$U264=""),"",$U264-$G264-$M264-$J264)</f>
        <v/>
      </c>
      <c r="X264" s="12">
        <f>IF(OR($I264="",$U264=""),"",$I264-$U264)</f>
        <v/>
      </c>
      <c r="Y264" s="11">
        <f>IF(OR($T264="",$V264=""),"",$V264-$T264)</f>
        <v/>
      </c>
      <c r="Z264" s="11">
        <f>IF(OR($S264="未発送",$S264="発送済",$S264="査定済",$S264="入金済"),1,0)</f>
        <v/>
      </c>
      <c r="AA264" s="11">
        <f>IF($U264="",0,1)</f>
        <v/>
      </c>
    </row>
    <row r="265">
      <c r="A265" s="8" t="n"/>
      <c r="B265" s="9" t="n"/>
      <c r="C265" s="10" t="n"/>
      <c r="D265" s="9" t="n"/>
      <c r="E265" s="9" t="n"/>
      <c r="F265" s="9" t="n"/>
      <c r="G265" s="4" t="n"/>
      <c r="H265" s="5" t="n"/>
      <c r="I265" s="4" t="n"/>
      <c r="J265" s="4" t="n"/>
      <c r="K265" s="4" t="n"/>
      <c r="L265" s="11">
        <f>IF($G265="","",IF($F265="",1,MAX(1,COUNTIF($F$6:$F$505,$F265)-COUNTIFS($F$6:$F$505,$F265,$S$6:$S$505,"見送り"))))</f>
        <v/>
      </c>
      <c r="M265" s="12">
        <f>IF($G265="","",IF($K265="",'設定'!$C$6,$K265)/$L265)</f>
        <v/>
      </c>
      <c r="N265" s="12">
        <f>IF(OR($G265="",$I265=""),"",$I265-$G265-$M265-$J265)</f>
        <v/>
      </c>
      <c r="O265" s="13">
        <f>IF($N265="","",IF($G265&gt;0,$N265/$G265,0))</f>
        <v/>
      </c>
      <c r="P265" s="12">
        <f>IF($G265="","",$G265*$H265)</f>
        <v/>
      </c>
      <c r="Q265" s="12">
        <f>IF($N265="","",$N265-$I265*'設定'!$C$7)</f>
        <v/>
      </c>
      <c r="R265" s="14">
        <f>IF($N265="","",IF(AND($N265&gt;='設定'!$C$4,$O265&gt;='設定'!$C$5),IF($Q265&gt;=0,"仕入れOK","OK・下落に弱い"),"見送り"))</f>
        <v/>
      </c>
      <c r="S265" s="9" t="n"/>
      <c r="T265" s="8" t="n"/>
      <c r="U265" s="4" t="n"/>
      <c r="V265" s="8" t="n"/>
      <c r="W265" s="12">
        <f>IF(OR($G265="",$U265=""),"",$U265-$G265-$M265-$J265)</f>
        <v/>
      </c>
      <c r="X265" s="12">
        <f>IF(OR($I265="",$U265=""),"",$I265-$U265)</f>
        <v/>
      </c>
      <c r="Y265" s="11">
        <f>IF(OR($T265="",$V265=""),"",$V265-$T265)</f>
        <v/>
      </c>
      <c r="Z265" s="11">
        <f>IF(OR($S265="未発送",$S265="発送済",$S265="査定済",$S265="入金済"),1,0)</f>
        <v/>
      </c>
      <c r="AA265" s="11">
        <f>IF($U265="",0,1)</f>
        <v/>
      </c>
    </row>
    <row r="266">
      <c r="A266" s="8" t="n"/>
      <c r="B266" s="9" t="n"/>
      <c r="C266" s="10" t="n"/>
      <c r="D266" s="9" t="n"/>
      <c r="E266" s="9" t="n"/>
      <c r="F266" s="9" t="n"/>
      <c r="G266" s="4" t="n"/>
      <c r="H266" s="5" t="n"/>
      <c r="I266" s="4" t="n"/>
      <c r="J266" s="4" t="n"/>
      <c r="K266" s="4" t="n"/>
      <c r="L266" s="11">
        <f>IF($G266="","",IF($F266="",1,MAX(1,COUNTIF($F$6:$F$505,$F266)-COUNTIFS($F$6:$F$505,$F266,$S$6:$S$505,"見送り"))))</f>
        <v/>
      </c>
      <c r="M266" s="12">
        <f>IF($G266="","",IF($K266="",'設定'!$C$6,$K266)/$L266)</f>
        <v/>
      </c>
      <c r="N266" s="12">
        <f>IF(OR($G266="",$I266=""),"",$I266-$G266-$M266-$J266)</f>
        <v/>
      </c>
      <c r="O266" s="13">
        <f>IF($N266="","",IF($G266&gt;0,$N266/$G266,0))</f>
        <v/>
      </c>
      <c r="P266" s="12">
        <f>IF($G266="","",$G266*$H266)</f>
        <v/>
      </c>
      <c r="Q266" s="12">
        <f>IF($N266="","",$N266-$I266*'設定'!$C$7)</f>
        <v/>
      </c>
      <c r="R266" s="14">
        <f>IF($N266="","",IF(AND($N266&gt;='設定'!$C$4,$O266&gt;='設定'!$C$5),IF($Q266&gt;=0,"仕入れOK","OK・下落に弱い"),"見送り"))</f>
        <v/>
      </c>
      <c r="S266" s="9" t="n"/>
      <c r="T266" s="8" t="n"/>
      <c r="U266" s="4" t="n"/>
      <c r="V266" s="8" t="n"/>
      <c r="W266" s="12">
        <f>IF(OR($G266="",$U266=""),"",$U266-$G266-$M266-$J266)</f>
        <v/>
      </c>
      <c r="X266" s="12">
        <f>IF(OR($I266="",$U266=""),"",$I266-$U266)</f>
        <v/>
      </c>
      <c r="Y266" s="11">
        <f>IF(OR($T266="",$V266=""),"",$V266-$T266)</f>
        <v/>
      </c>
      <c r="Z266" s="11">
        <f>IF(OR($S266="未発送",$S266="発送済",$S266="査定済",$S266="入金済"),1,0)</f>
        <v/>
      </c>
      <c r="AA266" s="11">
        <f>IF($U266="",0,1)</f>
        <v/>
      </c>
    </row>
    <row r="267">
      <c r="A267" s="8" t="n"/>
      <c r="B267" s="9" t="n"/>
      <c r="C267" s="10" t="n"/>
      <c r="D267" s="9" t="n"/>
      <c r="E267" s="9" t="n"/>
      <c r="F267" s="9" t="n"/>
      <c r="G267" s="4" t="n"/>
      <c r="H267" s="5" t="n"/>
      <c r="I267" s="4" t="n"/>
      <c r="J267" s="4" t="n"/>
      <c r="K267" s="4" t="n"/>
      <c r="L267" s="11">
        <f>IF($G267="","",IF($F267="",1,MAX(1,COUNTIF($F$6:$F$505,$F267)-COUNTIFS($F$6:$F$505,$F267,$S$6:$S$505,"見送り"))))</f>
        <v/>
      </c>
      <c r="M267" s="12">
        <f>IF($G267="","",IF($K267="",'設定'!$C$6,$K267)/$L267)</f>
        <v/>
      </c>
      <c r="N267" s="12">
        <f>IF(OR($G267="",$I267=""),"",$I267-$G267-$M267-$J267)</f>
        <v/>
      </c>
      <c r="O267" s="13">
        <f>IF($N267="","",IF($G267&gt;0,$N267/$G267,0))</f>
        <v/>
      </c>
      <c r="P267" s="12">
        <f>IF($G267="","",$G267*$H267)</f>
        <v/>
      </c>
      <c r="Q267" s="12">
        <f>IF($N267="","",$N267-$I267*'設定'!$C$7)</f>
        <v/>
      </c>
      <c r="R267" s="14">
        <f>IF($N267="","",IF(AND($N267&gt;='設定'!$C$4,$O267&gt;='設定'!$C$5),IF($Q267&gt;=0,"仕入れOK","OK・下落に弱い"),"見送り"))</f>
        <v/>
      </c>
      <c r="S267" s="9" t="n"/>
      <c r="T267" s="8" t="n"/>
      <c r="U267" s="4" t="n"/>
      <c r="V267" s="8" t="n"/>
      <c r="W267" s="12">
        <f>IF(OR($G267="",$U267=""),"",$U267-$G267-$M267-$J267)</f>
        <v/>
      </c>
      <c r="X267" s="12">
        <f>IF(OR($I267="",$U267=""),"",$I267-$U267)</f>
        <v/>
      </c>
      <c r="Y267" s="11">
        <f>IF(OR($T267="",$V267=""),"",$V267-$T267)</f>
        <v/>
      </c>
      <c r="Z267" s="11">
        <f>IF(OR($S267="未発送",$S267="発送済",$S267="査定済",$S267="入金済"),1,0)</f>
        <v/>
      </c>
      <c r="AA267" s="11">
        <f>IF($U267="",0,1)</f>
        <v/>
      </c>
    </row>
    <row r="268">
      <c r="A268" s="8" t="n"/>
      <c r="B268" s="9" t="n"/>
      <c r="C268" s="10" t="n"/>
      <c r="D268" s="9" t="n"/>
      <c r="E268" s="9" t="n"/>
      <c r="F268" s="9" t="n"/>
      <c r="G268" s="4" t="n"/>
      <c r="H268" s="5" t="n"/>
      <c r="I268" s="4" t="n"/>
      <c r="J268" s="4" t="n"/>
      <c r="K268" s="4" t="n"/>
      <c r="L268" s="11">
        <f>IF($G268="","",IF($F268="",1,MAX(1,COUNTIF($F$6:$F$505,$F268)-COUNTIFS($F$6:$F$505,$F268,$S$6:$S$505,"見送り"))))</f>
        <v/>
      </c>
      <c r="M268" s="12">
        <f>IF($G268="","",IF($K268="",'設定'!$C$6,$K268)/$L268)</f>
        <v/>
      </c>
      <c r="N268" s="12">
        <f>IF(OR($G268="",$I268=""),"",$I268-$G268-$M268-$J268)</f>
        <v/>
      </c>
      <c r="O268" s="13">
        <f>IF($N268="","",IF($G268&gt;0,$N268/$G268,0))</f>
        <v/>
      </c>
      <c r="P268" s="12">
        <f>IF($G268="","",$G268*$H268)</f>
        <v/>
      </c>
      <c r="Q268" s="12">
        <f>IF($N268="","",$N268-$I268*'設定'!$C$7)</f>
        <v/>
      </c>
      <c r="R268" s="14">
        <f>IF($N268="","",IF(AND($N268&gt;='設定'!$C$4,$O268&gt;='設定'!$C$5),IF($Q268&gt;=0,"仕入れOK","OK・下落に弱い"),"見送り"))</f>
        <v/>
      </c>
      <c r="S268" s="9" t="n"/>
      <c r="T268" s="8" t="n"/>
      <c r="U268" s="4" t="n"/>
      <c r="V268" s="8" t="n"/>
      <c r="W268" s="12">
        <f>IF(OR($G268="",$U268=""),"",$U268-$G268-$M268-$J268)</f>
        <v/>
      </c>
      <c r="X268" s="12">
        <f>IF(OR($I268="",$U268=""),"",$I268-$U268)</f>
        <v/>
      </c>
      <c r="Y268" s="11">
        <f>IF(OR($T268="",$V268=""),"",$V268-$T268)</f>
        <v/>
      </c>
      <c r="Z268" s="11">
        <f>IF(OR($S268="未発送",$S268="発送済",$S268="査定済",$S268="入金済"),1,0)</f>
        <v/>
      </c>
      <c r="AA268" s="11">
        <f>IF($U268="",0,1)</f>
        <v/>
      </c>
    </row>
    <row r="269">
      <c r="A269" s="8" t="n"/>
      <c r="B269" s="9" t="n"/>
      <c r="C269" s="10" t="n"/>
      <c r="D269" s="9" t="n"/>
      <c r="E269" s="9" t="n"/>
      <c r="F269" s="9" t="n"/>
      <c r="G269" s="4" t="n"/>
      <c r="H269" s="5" t="n"/>
      <c r="I269" s="4" t="n"/>
      <c r="J269" s="4" t="n"/>
      <c r="K269" s="4" t="n"/>
      <c r="L269" s="11">
        <f>IF($G269="","",IF($F269="",1,MAX(1,COUNTIF($F$6:$F$505,$F269)-COUNTIFS($F$6:$F$505,$F269,$S$6:$S$505,"見送り"))))</f>
        <v/>
      </c>
      <c r="M269" s="12">
        <f>IF($G269="","",IF($K269="",'設定'!$C$6,$K269)/$L269)</f>
        <v/>
      </c>
      <c r="N269" s="12">
        <f>IF(OR($G269="",$I269=""),"",$I269-$G269-$M269-$J269)</f>
        <v/>
      </c>
      <c r="O269" s="13">
        <f>IF($N269="","",IF($G269&gt;0,$N269/$G269,0))</f>
        <v/>
      </c>
      <c r="P269" s="12">
        <f>IF($G269="","",$G269*$H269)</f>
        <v/>
      </c>
      <c r="Q269" s="12">
        <f>IF($N269="","",$N269-$I269*'設定'!$C$7)</f>
        <v/>
      </c>
      <c r="R269" s="14">
        <f>IF($N269="","",IF(AND($N269&gt;='設定'!$C$4,$O269&gt;='設定'!$C$5),IF($Q269&gt;=0,"仕入れOK","OK・下落に弱い"),"見送り"))</f>
        <v/>
      </c>
      <c r="S269" s="9" t="n"/>
      <c r="T269" s="8" t="n"/>
      <c r="U269" s="4" t="n"/>
      <c r="V269" s="8" t="n"/>
      <c r="W269" s="12">
        <f>IF(OR($G269="",$U269=""),"",$U269-$G269-$M269-$J269)</f>
        <v/>
      </c>
      <c r="X269" s="12">
        <f>IF(OR($I269="",$U269=""),"",$I269-$U269)</f>
        <v/>
      </c>
      <c r="Y269" s="11">
        <f>IF(OR($T269="",$V269=""),"",$V269-$T269)</f>
        <v/>
      </c>
      <c r="Z269" s="11">
        <f>IF(OR($S269="未発送",$S269="発送済",$S269="査定済",$S269="入金済"),1,0)</f>
        <v/>
      </c>
      <c r="AA269" s="11">
        <f>IF($U269="",0,1)</f>
        <v/>
      </c>
    </row>
    <row r="270">
      <c r="A270" s="8" t="n"/>
      <c r="B270" s="9" t="n"/>
      <c r="C270" s="10" t="n"/>
      <c r="D270" s="9" t="n"/>
      <c r="E270" s="9" t="n"/>
      <c r="F270" s="9" t="n"/>
      <c r="G270" s="4" t="n"/>
      <c r="H270" s="5" t="n"/>
      <c r="I270" s="4" t="n"/>
      <c r="J270" s="4" t="n"/>
      <c r="K270" s="4" t="n"/>
      <c r="L270" s="11">
        <f>IF($G270="","",IF($F270="",1,MAX(1,COUNTIF($F$6:$F$505,$F270)-COUNTIFS($F$6:$F$505,$F270,$S$6:$S$505,"見送り"))))</f>
        <v/>
      </c>
      <c r="M270" s="12">
        <f>IF($G270="","",IF($K270="",'設定'!$C$6,$K270)/$L270)</f>
        <v/>
      </c>
      <c r="N270" s="12">
        <f>IF(OR($G270="",$I270=""),"",$I270-$G270-$M270-$J270)</f>
        <v/>
      </c>
      <c r="O270" s="13">
        <f>IF($N270="","",IF($G270&gt;0,$N270/$G270,0))</f>
        <v/>
      </c>
      <c r="P270" s="12">
        <f>IF($G270="","",$G270*$H270)</f>
        <v/>
      </c>
      <c r="Q270" s="12">
        <f>IF($N270="","",$N270-$I270*'設定'!$C$7)</f>
        <v/>
      </c>
      <c r="R270" s="14">
        <f>IF($N270="","",IF(AND($N270&gt;='設定'!$C$4,$O270&gt;='設定'!$C$5),IF($Q270&gt;=0,"仕入れOK","OK・下落に弱い"),"見送り"))</f>
        <v/>
      </c>
      <c r="S270" s="9" t="n"/>
      <c r="T270" s="8" t="n"/>
      <c r="U270" s="4" t="n"/>
      <c r="V270" s="8" t="n"/>
      <c r="W270" s="12">
        <f>IF(OR($G270="",$U270=""),"",$U270-$G270-$M270-$J270)</f>
        <v/>
      </c>
      <c r="X270" s="12">
        <f>IF(OR($I270="",$U270=""),"",$I270-$U270)</f>
        <v/>
      </c>
      <c r="Y270" s="11">
        <f>IF(OR($T270="",$V270=""),"",$V270-$T270)</f>
        <v/>
      </c>
      <c r="Z270" s="11">
        <f>IF(OR($S270="未発送",$S270="発送済",$S270="査定済",$S270="入金済"),1,0)</f>
        <v/>
      </c>
      <c r="AA270" s="11">
        <f>IF($U270="",0,1)</f>
        <v/>
      </c>
    </row>
    <row r="271">
      <c r="A271" s="8" t="n"/>
      <c r="B271" s="9" t="n"/>
      <c r="C271" s="10" t="n"/>
      <c r="D271" s="9" t="n"/>
      <c r="E271" s="9" t="n"/>
      <c r="F271" s="9" t="n"/>
      <c r="G271" s="4" t="n"/>
      <c r="H271" s="5" t="n"/>
      <c r="I271" s="4" t="n"/>
      <c r="J271" s="4" t="n"/>
      <c r="K271" s="4" t="n"/>
      <c r="L271" s="11">
        <f>IF($G271="","",IF($F271="",1,MAX(1,COUNTIF($F$6:$F$505,$F271)-COUNTIFS($F$6:$F$505,$F271,$S$6:$S$505,"見送り"))))</f>
        <v/>
      </c>
      <c r="M271" s="12">
        <f>IF($G271="","",IF($K271="",'設定'!$C$6,$K271)/$L271)</f>
        <v/>
      </c>
      <c r="N271" s="12">
        <f>IF(OR($G271="",$I271=""),"",$I271-$G271-$M271-$J271)</f>
        <v/>
      </c>
      <c r="O271" s="13">
        <f>IF($N271="","",IF($G271&gt;0,$N271/$G271,0))</f>
        <v/>
      </c>
      <c r="P271" s="12">
        <f>IF($G271="","",$G271*$H271)</f>
        <v/>
      </c>
      <c r="Q271" s="12">
        <f>IF($N271="","",$N271-$I271*'設定'!$C$7)</f>
        <v/>
      </c>
      <c r="R271" s="14">
        <f>IF($N271="","",IF(AND($N271&gt;='設定'!$C$4,$O271&gt;='設定'!$C$5),IF($Q271&gt;=0,"仕入れOK","OK・下落に弱い"),"見送り"))</f>
        <v/>
      </c>
      <c r="S271" s="9" t="n"/>
      <c r="T271" s="8" t="n"/>
      <c r="U271" s="4" t="n"/>
      <c r="V271" s="8" t="n"/>
      <c r="W271" s="12">
        <f>IF(OR($G271="",$U271=""),"",$U271-$G271-$M271-$J271)</f>
        <v/>
      </c>
      <c r="X271" s="12">
        <f>IF(OR($I271="",$U271=""),"",$I271-$U271)</f>
        <v/>
      </c>
      <c r="Y271" s="11">
        <f>IF(OR($T271="",$V271=""),"",$V271-$T271)</f>
        <v/>
      </c>
      <c r="Z271" s="11">
        <f>IF(OR($S271="未発送",$S271="発送済",$S271="査定済",$S271="入金済"),1,0)</f>
        <v/>
      </c>
      <c r="AA271" s="11">
        <f>IF($U271="",0,1)</f>
        <v/>
      </c>
    </row>
    <row r="272">
      <c r="A272" s="8" t="n"/>
      <c r="B272" s="9" t="n"/>
      <c r="C272" s="10" t="n"/>
      <c r="D272" s="9" t="n"/>
      <c r="E272" s="9" t="n"/>
      <c r="F272" s="9" t="n"/>
      <c r="G272" s="4" t="n"/>
      <c r="H272" s="5" t="n"/>
      <c r="I272" s="4" t="n"/>
      <c r="J272" s="4" t="n"/>
      <c r="K272" s="4" t="n"/>
      <c r="L272" s="11">
        <f>IF($G272="","",IF($F272="",1,MAX(1,COUNTIF($F$6:$F$505,$F272)-COUNTIFS($F$6:$F$505,$F272,$S$6:$S$505,"見送り"))))</f>
        <v/>
      </c>
      <c r="M272" s="12">
        <f>IF($G272="","",IF($K272="",'設定'!$C$6,$K272)/$L272)</f>
        <v/>
      </c>
      <c r="N272" s="12">
        <f>IF(OR($G272="",$I272=""),"",$I272-$G272-$M272-$J272)</f>
        <v/>
      </c>
      <c r="O272" s="13">
        <f>IF($N272="","",IF($G272&gt;0,$N272/$G272,0))</f>
        <v/>
      </c>
      <c r="P272" s="12">
        <f>IF($G272="","",$G272*$H272)</f>
        <v/>
      </c>
      <c r="Q272" s="12">
        <f>IF($N272="","",$N272-$I272*'設定'!$C$7)</f>
        <v/>
      </c>
      <c r="R272" s="14">
        <f>IF($N272="","",IF(AND($N272&gt;='設定'!$C$4,$O272&gt;='設定'!$C$5),IF($Q272&gt;=0,"仕入れOK","OK・下落に弱い"),"見送り"))</f>
        <v/>
      </c>
      <c r="S272" s="9" t="n"/>
      <c r="T272" s="8" t="n"/>
      <c r="U272" s="4" t="n"/>
      <c r="V272" s="8" t="n"/>
      <c r="W272" s="12">
        <f>IF(OR($G272="",$U272=""),"",$U272-$G272-$M272-$J272)</f>
        <v/>
      </c>
      <c r="X272" s="12">
        <f>IF(OR($I272="",$U272=""),"",$I272-$U272)</f>
        <v/>
      </c>
      <c r="Y272" s="11">
        <f>IF(OR($T272="",$V272=""),"",$V272-$T272)</f>
        <v/>
      </c>
      <c r="Z272" s="11">
        <f>IF(OR($S272="未発送",$S272="発送済",$S272="査定済",$S272="入金済"),1,0)</f>
        <v/>
      </c>
      <c r="AA272" s="11">
        <f>IF($U272="",0,1)</f>
        <v/>
      </c>
    </row>
    <row r="273">
      <c r="A273" s="8" t="n"/>
      <c r="B273" s="9" t="n"/>
      <c r="C273" s="10" t="n"/>
      <c r="D273" s="9" t="n"/>
      <c r="E273" s="9" t="n"/>
      <c r="F273" s="9" t="n"/>
      <c r="G273" s="4" t="n"/>
      <c r="H273" s="5" t="n"/>
      <c r="I273" s="4" t="n"/>
      <c r="J273" s="4" t="n"/>
      <c r="K273" s="4" t="n"/>
      <c r="L273" s="11">
        <f>IF($G273="","",IF($F273="",1,MAX(1,COUNTIF($F$6:$F$505,$F273)-COUNTIFS($F$6:$F$505,$F273,$S$6:$S$505,"見送り"))))</f>
        <v/>
      </c>
      <c r="M273" s="12">
        <f>IF($G273="","",IF($K273="",'設定'!$C$6,$K273)/$L273)</f>
        <v/>
      </c>
      <c r="N273" s="12">
        <f>IF(OR($G273="",$I273=""),"",$I273-$G273-$M273-$J273)</f>
        <v/>
      </c>
      <c r="O273" s="13">
        <f>IF($N273="","",IF($G273&gt;0,$N273/$G273,0))</f>
        <v/>
      </c>
      <c r="P273" s="12">
        <f>IF($G273="","",$G273*$H273)</f>
        <v/>
      </c>
      <c r="Q273" s="12">
        <f>IF($N273="","",$N273-$I273*'設定'!$C$7)</f>
        <v/>
      </c>
      <c r="R273" s="14">
        <f>IF($N273="","",IF(AND($N273&gt;='設定'!$C$4,$O273&gt;='設定'!$C$5),IF($Q273&gt;=0,"仕入れOK","OK・下落に弱い"),"見送り"))</f>
        <v/>
      </c>
      <c r="S273" s="9" t="n"/>
      <c r="T273" s="8" t="n"/>
      <c r="U273" s="4" t="n"/>
      <c r="V273" s="8" t="n"/>
      <c r="W273" s="12">
        <f>IF(OR($G273="",$U273=""),"",$U273-$G273-$M273-$J273)</f>
        <v/>
      </c>
      <c r="X273" s="12">
        <f>IF(OR($I273="",$U273=""),"",$I273-$U273)</f>
        <v/>
      </c>
      <c r="Y273" s="11">
        <f>IF(OR($T273="",$V273=""),"",$V273-$T273)</f>
        <v/>
      </c>
      <c r="Z273" s="11">
        <f>IF(OR($S273="未発送",$S273="発送済",$S273="査定済",$S273="入金済"),1,0)</f>
        <v/>
      </c>
      <c r="AA273" s="11">
        <f>IF($U273="",0,1)</f>
        <v/>
      </c>
    </row>
    <row r="274">
      <c r="A274" s="8" t="n"/>
      <c r="B274" s="9" t="n"/>
      <c r="C274" s="10" t="n"/>
      <c r="D274" s="9" t="n"/>
      <c r="E274" s="9" t="n"/>
      <c r="F274" s="9" t="n"/>
      <c r="G274" s="4" t="n"/>
      <c r="H274" s="5" t="n"/>
      <c r="I274" s="4" t="n"/>
      <c r="J274" s="4" t="n"/>
      <c r="K274" s="4" t="n"/>
      <c r="L274" s="11">
        <f>IF($G274="","",IF($F274="",1,MAX(1,COUNTIF($F$6:$F$505,$F274)-COUNTIFS($F$6:$F$505,$F274,$S$6:$S$505,"見送り"))))</f>
        <v/>
      </c>
      <c r="M274" s="12">
        <f>IF($G274="","",IF($K274="",'設定'!$C$6,$K274)/$L274)</f>
        <v/>
      </c>
      <c r="N274" s="12">
        <f>IF(OR($G274="",$I274=""),"",$I274-$G274-$M274-$J274)</f>
        <v/>
      </c>
      <c r="O274" s="13">
        <f>IF($N274="","",IF($G274&gt;0,$N274/$G274,0))</f>
        <v/>
      </c>
      <c r="P274" s="12">
        <f>IF($G274="","",$G274*$H274)</f>
        <v/>
      </c>
      <c r="Q274" s="12">
        <f>IF($N274="","",$N274-$I274*'設定'!$C$7)</f>
        <v/>
      </c>
      <c r="R274" s="14">
        <f>IF($N274="","",IF(AND($N274&gt;='設定'!$C$4,$O274&gt;='設定'!$C$5),IF($Q274&gt;=0,"仕入れOK","OK・下落に弱い"),"見送り"))</f>
        <v/>
      </c>
      <c r="S274" s="9" t="n"/>
      <c r="T274" s="8" t="n"/>
      <c r="U274" s="4" t="n"/>
      <c r="V274" s="8" t="n"/>
      <c r="W274" s="12">
        <f>IF(OR($G274="",$U274=""),"",$U274-$G274-$M274-$J274)</f>
        <v/>
      </c>
      <c r="X274" s="12">
        <f>IF(OR($I274="",$U274=""),"",$I274-$U274)</f>
        <v/>
      </c>
      <c r="Y274" s="11">
        <f>IF(OR($T274="",$V274=""),"",$V274-$T274)</f>
        <v/>
      </c>
      <c r="Z274" s="11">
        <f>IF(OR($S274="未発送",$S274="発送済",$S274="査定済",$S274="入金済"),1,0)</f>
        <v/>
      </c>
      <c r="AA274" s="11">
        <f>IF($U274="",0,1)</f>
        <v/>
      </c>
    </row>
    <row r="275">
      <c r="A275" s="8" t="n"/>
      <c r="B275" s="9" t="n"/>
      <c r="C275" s="10" t="n"/>
      <c r="D275" s="9" t="n"/>
      <c r="E275" s="9" t="n"/>
      <c r="F275" s="9" t="n"/>
      <c r="G275" s="4" t="n"/>
      <c r="H275" s="5" t="n"/>
      <c r="I275" s="4" t="n"/>
      <c r="J275" s="4" t="n"/>
      <c r="K275" s="4" t="n"/>
      <c r="L275" s="11">
        <f>IF($G275="","",IF($F275="",1,MAX(1,COUNTIF($F$6:$F$505,$F275)-COUNTIFS($F$6:$F$505,$F275,$S$6:$S$505,"見送り"))))</f>
        <v/>
      </c>
      <c r="M275" s="12">
        <f>IF($G275="","",IF($K275="",'設定'!$C$6,$K275)/$L275)</f>
        <v/>
      </c>
      <c r="N275" s="12">
        <f>IF(OR($G275="",$I275=""),"",$I275-$G275-$M275-$J275)</f>
        <v/>
      </c>
      <c r="O275" s="13">
        <f>IF($N275="","",IF($G275&gt;0,$N275/$G275,0))</f>
        <v/>
      </c>
      <c r="P275" s="12">
        <f>IF($G275="","",$G275*$H275)</f>
        <v/>
      </c>
      <c r="Q275" s="12">
        <f>IF($N275="","",$N275-$I275*'設定'!$C$7)</f>
        <v/>
      </c>
      <c r="R275" s="14">
        <f>IF($N275="","",IF(AND($N275&gt;='設定'!$C$4,$O275&gt;='設定'!$C$5),IF($Q275&gt;=0,"仕入れOK","OK・下落に弱い"),"見送り"))</f>
        <v/>
      </c>
      <c r="S275" s="9" t="n"/>
      <c r="T275" s="8" t="n"/>
      <c r="U275" s="4" t="n"/>
      <c r="V275" s="8" t="n"/>
      <c r="W275" s="12">
        <f>IF(OR($G275="",$U275=""),"",$U275-$G275-$M275-$J275)</f>
        <v/>
      </c>
      <c r="X275" s="12">
        <f>IF(OR($I275="",$U275=""),"",$I275-$U275)</f>
        <v/>
      </c>
      <c r="Y275" s="11">
        <f>IF(OR($T275="",$V275=""),"",$V275-$T275)</f>
        <v/>
      </c>
      <c r="Z275" s="11">
        <f>IF(OR($S275="未発送",$S275="発送済",$S275="査定済",$S275="入金済"),1,0)</f>
        <v/>
      </c>
      <c r="AA275" s="11">
        <f>IF($U275="",0,1)</f>
        <v/>
      </c>
    </row>
    <row r="276">
      <c r="A276" s="8" t="n"/>
      <c r="B276" s="9" t="n"/>
      <c r="C276" s="10" t="n"/>
      <c r="D276" s="9" t="n"/>
      <c r="E276" s="9" t="n"/>
      <c r="F276" s="9" t="n"/>
      <c r="G276" s="4" t="n"/>
      <c r="H276" s="5" t="n"/>
      <c r="I276" s="4" t="n"/>
      <c r="J276" s="4" t="n"/>
      <c r="K276" s="4" t="n"/>
      <c r="L276" s="11">
        <f>IF($G276="","",IF($F276="",1,MAX(1,COUNTIF($F$6:$F$505,$F276)-COUNTIFS($F$6:$F$505,$F276,$S$6:$S$505,"見送り"))))</f>
        <v/>
      </c>
      <c r="M276" s="12">
        <f>IF($G276="","",IF($K276="",'設定'!$C$6,$K276)/$L276)</f>
        <v/>
      </c>
      <c r="N276" s="12">
        <f>IF(OR($G276="",$I276=""),"",$I276-$G276-$M276-$J276)</f>
        <v/>
      </c>
      <c r="O276" s="13">
        <f>IF($N276="","",IF($G276&gt;0,$N276/$G276,0))</f>
        <v/>
      </c>
      <c r="P276" s="12">
        <f>IF($G276="","",$G276*$H276)</f>
        <v/>
      </c>
      <c r="Q276" s="12">
        <f>IF($N276="","",$N276-$I276*'設定'!$C$7)</f>
        <v/>
      </c>
      <c r="R276" s="14">
        <f>IF($N276="","",IF(AND($N276&gt;='設定'!$C$4,$O276&gt;='設定'!$C$5),IF($Q276&gt;=0,"仕入れOK","OK・下落に弱い"),"見送り"))</f>
        <v/>
      </c>
      <c r="S276" s="9" t="n"/>
      <c r="T276" s="8" t="n"/>
      <c r="U276" s="4" t="n"/>
      <c r="V276" s="8" t="n"/>
      <c r="W276" s="12">
        <f>IF(OR($G276="",$U276=""),"",$U276-$G276-$M276-$J276)</f>
        <v/>
      </c>
      <c r="X276" s="12">
        <f>IF(OR($I276="",$U276=""),"",$I276-$U276)</f>
        <v/>
      </c>
      <c r="Y276" s="11">
        <f>IF(OR($T276="",$V276=""),"",$V276-$T276)</f>
        <v/>
      </c>
      <c r="Z276" s="11">
        <f>IF(OR($S276="未発送",$S276="発送済",$S276="査定済",$S276="入金済"),1,0)</f>
        <v/>
      </c>
      <c r="AA276" s="11">
        <f>IF($U276="",0,1)</f>
        <v/>
      </c>
    </row>
    <row r="277">
      <c r="A277" s="8" t="n"/>
      <c r="B277" s="9" t="n"/>
      <c r="C277" s="10" t="n"/>
      <c r="D277" s="9" t="n"/>
      <c r="E277" s="9" t="n"/>
      <c r="F277" s="9" t="n"/>
      <c r="G277" s="4" t="n"/>
      <c r="H277" s="5" t="n"/>
      <c r="I277" s="4" t="n"/>
      <c r="J277" s="4" t="n"/>
      <c r="K277" s="4" t="n"/>
      <c r="L277" s="11">
        <f>IF($G277="","",IF($F277="",1,MAX(1,COUNTIF($F$6:$F$505,$F277)-COUNTIFS($F$6:$F$505,$F277,$S$6:$S$505,"見送り"))))</f>
        <v/>
      </c>
      <c r="M277" s="12">
        <f>IF($G277="","",IF($K277="",'設定'!$C$6,$K277)/$L277)</f>
        <v/>
      </c>
      <c r="N277" s="12">
        <f>IF(OR($G277="",$I277=""),"",$I277-$G277-$M277-$J277)</f>
        <v/>
      </c>
      <c r="O277" s="13">
        <f>IF($N277="","",IF($G277&gt;0,$N277/$G277,0))</f>
        <v/>
      </c>
      <c r="P277" s="12">
        <f>IF($G277="","",$G277*$H277)</f>
        <v/>
      </c>
      <c r="Q277" s="12">
        <f>IF($N277="","",$N277-$I277*'設定'!$C$7)</f>
        <v/>
      </c>
      <c r="R277" s="14">
        <f>IF($N277="","",IF(AND($N277&gt;='設定'!$C$4,$O277&gt;='設定'!$C$5),IF($Q277&gt;=0,"仕入れOK","OK・下落に弱い"),"見送り"))</f>
        <v/>
      </c>
      <c r="S277" s="9" t="n"/>
      <c r="T277" s="8" t="n"/>
      <c r="U277" s="4" t="n"/>
      <c r="V277" s="8" t="n"/>
      <c r="W277" s="12">
        <f>IF(OR($G277="",$U277=""),"",$U277-$G277-$M277-$J277)</f>
        <v/>
      </c>
      <c r="X277" s="12">
        <f>IF(OR($I277="",$U277=""),"",$I277-$U277)</f>
        <v/>
      </c>
      <c r="Y277" s="11">
        <f>IF(OR($T277="",$V277=""),"",$V277-$T277)</f>
        <v/>
      </c>
      <c r="Z277" s="11">
        <f>IF(OR($S277="未発送",$S277="発送済",$S277="査定済",$S277="入金済"),1,0)</f>
        <v/>
      </c>
      <c r="AA277" s="11">
        <f>IF($U277="",0,1)</f>
        <v/>
      </c>
    </row>
    <row r="278">
      <c r="A278" s="8" t="n"/>
      <c r="B278" s="9" t="n"/>
      <c r="C278" s="10" t="n"/>
      <c r="D278" s="9" t="n"/>
      <c r="E278" s="9" t="n"/>
      <c r="F278" s="9" t="n"/>
      <c r="G278" s="4" t="n"/>
      <c r="H278" s="5" t="n"/>
      <c r="I278" s="4" t="n"/>
      <c r="J278" s="4" t="n"/>
      <c r="K278" s="4" t="n"/>
      <c r="L278" s="11">
        <f>IF($G278="","",IF($F278="",1,MAX(1,COUNTIF($F$6:$F$505,$F278)-COUNTIFS($F$6:$F$505,$F278,$S$6:$S$505,"見送り"))))</f>
        <v/>
      </c>
      <c r="M278" s="12">
        <f>IF($G278="","",IF($K278="",'設定'!$C$6,$K278)/$L278)</f>
        <v/>
      </c>
      <c r="N278" s="12">
        <f>IF(OR($G278="",$I278=""),"",$I278-$G278-$M278-$J278)</f>
        <v/>
      </c>
      <c r="O278" s="13">
        <f>IF($N278="","",IF($G278&gt;0,$N278/$G278,0))</f>
        <v/>
      </c>
      <c r="P278" s="12">
        <f>IF($G278="","",$G278*$H278)</f>
        <v/>
      </c>
      <c r="Q278" s="12">
        <f>IF($N278="","",$N278-$I278*'設定'!$C$7)</f>
        <v/>
      </c>
      <c r="R278" s="14">
        <f>IF($N278="","",IF(AND($N278&gt;='設定'!$C$4,$O278&gt;='設定'!$C$5),IF($Q278&gt;=0,"仕入れOK","OK・下落に弱い"),"見送り"))</f>
        <v/>
      </c>
      <c r="S278" s="9" t="n"/>
      <c r="T278" s="8" t="n"/>
      <c r="U278" s="4" t="n"/>
      <c r="V278" s="8" t="n"/>
      <c r="W278" s="12">
        <f>IF(OR($G278="",$U278=""),"",$U278-$G278-$M278-$J278)</f>
        <v/>
      </c>
      <c r="X278" s="12">
        <f>IF(OR($I278="",$U278=""),"",$I278-$U278)</f>
        <v/>
      </c>
      <c r="Y278" s="11">
        <f>IF(OR($T278="",$V278=""),"",$V278-$T278)</f>
        <v/>
      </c>
      <c r="Z278" s="11">
        <f>IF(OR($S278="未発送",$S278="発送済",$S278="査定済",$S278="入金済"),1,0)</f>
        <v/>
      </c>
      <c r="AA278" s="11">
        <f>IF($U278="",0,1)</f>
        <v/>
      </c>
    </row>
    <row r="279">
      <c r="A279" s="8" t="n"/>
      <c r="B279" s="9" t="n"/>
      <c r="C279" s="10" t="n"/>
      <c r="D279" s="9" t="n"/>
      <c r="E279" s="9" t="n"/>
      <c r="F279" s="9" t="n"/>
      <c r="G279" s="4" t="n"/>
      <c r="H279" s="5" t="n"/>
      <c r="I279" s="4" t="n"/>
      <c r="J279" s="4" t="n"/>
      <c r="K279" s="4" t="n"/>
      <c r="L279" s="11">
        <f>IF($G279="","",IF($F279="",1,MAX(1,COUNTIF($F$6:$F$505,$F279)-COUNTIFS($F$6:$F$505,$F279,$S$6:$S$505,"見送り"))))</f>
        <v/>
      </c>
      <c r="M279" s="12">
        <f>IF($G279="","",IF($K279="",'設定'!$C$6,$K279)/$L279)</f>
        <v/>
      </c>
      <c r="N279" s="12">
        <f>IF(OR($G279="",$I279=""),"",$I279-$G279-$M279-$J279)</f>
        <v/>
      </c>
      <c r="O279" s="13">
        <f>IF($N279="","",IF($G279&gt;0,$N279/$G279,0))</f>
        <v/>
      </c>
      <c r="P279" s="12">
        <f>IF($G279="","",$G279*$H279)</f>
        <v/>
      </c>
      <c r="Q279" s="12">
        <f>IF($N279="","",$N279-$I279*'設定'!$C$7)</f>
        <v/>
      </c>
      <c r="R279" s="14">
        <f>IF($N279="","",IF(AND($N279&gt;='設定'!$C$4,$O279&gt;='設定'!$C$5),IF($Q279&gt;=0,"仕入れOK","OK・下落に弱い"),"見送り"))</f>
        <v/>
      </c>
      <c r="S279" s="9" t="n"/>
      <c r="T279" s="8" t="n"/>
      <c r="U279" s="4" t="n"/>
      <c r="V279" s="8" t="n"/>
      <c r="W279" s="12">
        <f>IF(OR($G279="",$U279=""),"",$U279-$G279-$M279-$J279)</f>
        <v/>
      </c>
      <c r="X279" s="12">
        <f>IF(OR($I279="",$U279=""),"",$I279-$U279)</f>
        <v/>
      </c>
      <c r="Y279" s="11">
        <f>IF(OR($T279="",$V279=""),"",$V279-$T279)</f>
        <v/>
      </c>
      <c r="Z279" s="11">
        <f>IF(OR($S279="未発送",$S279="発送済",$S279="査定済",$S279="入金済"),1,0)</f>
        <v/>
      </c>
      <c r="AA279" s="11">
        <f>IF($U279="",0,1)</f>
        <v/>
      </c>
    </row>
    <row r="280">
      <c r="A280" s="8" t="n"/>
      <c r="B280" s="9" t="n"/>
      <c r="C280" s="10" t="n"/>
      <c r="D280" s="9" t="n"/>
      <c r="E280" s="9" t="n"/>
      <c r="F280" s="9" t="n"/>
      <c r="G280" s="4" t="n"/>
      <c r="H280" s="5" t="n"/>
      <c r="I280" s="4" t="n"/>
      <c r="J280" s="4" t="n"/>
      <c r="K280" s="4" t="n"/>
      <c r="L280" s="11">
        <f>IF($G280="","",IF($F280="",1,MAX(1,COUNTIF($F$6:$F$505,$F280)-COUNTIFS($F$6:$F$505,$F280,$S$6:$S$505,"見送り"))))</f>
        <v/>
      </c>
      <c r="M280" s="12">
        <f>IF($G280="","",IF($K280="",'設定'!$C$6,$K280)/$L280)</f>
        <v/>
      </c>
      <c r="N280" s="12">
        <f>IF(OR($G280="",$I280=""),"",$I280-$G280-$M280-$J280)</f>
        <v/>
      </c>
      <c r="O280" s="13">
        <f>IF($N280="","",IF($G280&gt;0,$N280/$G280,0))</f>
        <v/>
      </c>
      <c r="P280" s="12">
        <f>IF($G280="","",$G280*$H280)</f>
        <v/>
      </c>
      <c r="Q280" s="12">
        <f>IF($N280="","",$N280-$I280*'設定'!$C$7)</f>
        <v/>
      </c>
      <c r="R280" s="14">
        <f>IF($N280="","",IF(AND($N280&gt;='設定'!$C$4,$O280&gt;='設定'!$C$5),IF($Q280&gt;=0,"仕入れOK","OK・下落に弱い"),"見送り"))</f>
        <v/>
      </c>
      <c r="S280" s="9" t="n"/>
      <c r="T280" s="8" t="n"/>
      <c r="U280" s="4" t="n"/>
      <c r="V280" s="8" t="n"/>
      <c r="W280" s="12">
        <f>IF(OR($G280="",$U280=""),"",$U280-$G280-$M280-$J280)</f>
        <v/>
      </c>
      <c r="X280" s="12">
        <f>IF(OR($I280="",$U280=""),"",$I280-$U280)</f>
        <v/>
      </c>
      <c r="Y280" s="11">
        <f>IF(OR($T280="",$V280=""),"",$V280-$T280)</f>
        <v/>
      </c>
      <c r="Z280" s="11">
        <f>IF(OR($S280="未発送",$S280="発送済",$S280="査定済",$S280="入金済"),1,0)</f>
        <v/>
      </c>
      <c r="AA280" s="11">
        <f>IF($U280="",0,1)</f>
        <v/>
      </c>
    </row>
    <row r="281">
      <c r="A281" s="8" t="n"/>
      <c r="B281" s="9" t="n"/>
      <c r="C281" s="10" t="n"/>
      <c r="D281" s="9" t="n"/>
      <c r="E281" s="9" t="n"/>
      <c r="F281" s="9" t="n"/>
      <c r="G281" s="4" t="n"/>
      <c r="H281" s="5" t="n"/>
      <c r="I281" s="4" t="n"/>
      <c r="J281" s="4" t="n"/>
      <c r="K281" s="4" t="n"/>
      <c r="L281" s="11">
        <f>IF($G281="","",IF($F281="",1,MAX(1,COUNTIF($F$6:$F$505,$F281)-COUNTIFS($F$6:$F$505,$F281,$S$6:$S$505,"見送り"))))</f>
        <v/>
      </c>
      <c r="M281" s="12">
        <f>IF($G281="","",IF($K281="",'設定'!$C$6,$K281)/$L281)</f>
        <v/>
      </c>
      <c r="N281" s="12">
        <f>IF(OR($G281="",$I281=""),"",$I281-$G281-$M281-$J281)</f>
        <v/>
      </c>
      <c r="O281" s="13">
        <f>IF($N281="","",IF($G281&gt;0,$N281/$G281,0))</f>
        <v/>
      </c>
      <c r="P281" s="12">
        <f>IF($G281="","",$G281*$H281)</f>
        <v/>
      </c>
      <c r="Q281" s="12">
        <f>IF($N281="","",$N281-$I281*'設定'!$C$7)</f>
        <v/>
      </c>
      <c r="R281" s="14">
        <f>IF($N281="","",IF(AND($N281&gt;='設定'!$C$4,$O281&gt;='設定'!$C$5),IF($Q281&gt;=0,"仕入れOK","OK・下落に弱い"),"見送り"))</f>
        <v/>
      </c>
      <c r="S281" s="9" t="n"/>
      <c r="T281" s="8" t="n"/>
      <c r="U281" s="4" t="n"/>
      <c r="V281" s="8" t="n"/>
      <c r="W281" s="12">
        <f>IF(OR($G281="",$U281=""),"",$U281-$G281-$M281-$J281)</f>
        <v/>
      </c>
      <c r="X281" s="12">
        <f>IF(OR($I281="",$U281=""),"",$I281-$U281)</f>
        <v/>
      </c>
      <c r="Y281" s="11">
        <f>IF(OR($T281="",$V281=""),"",$V281-$T281)</f>
        <v/>
      </c>
      <c r="Z281" s="11">
        <f>IF(OR($S281="未発送",$S281="発送済",$S281="査定済",$S281="入金済"),1,0)</f>
        <v/>
      </c>
      <c r="AA281" s="11">
        <f>IF($U281="",0,1)</f>
        <v/>
      </c>
    </row>
    <row r="282">
      <c r="A282" s="8" t="n"/>
      <c r="B282" s="9" t="n"/>
      <c r="C282" s="10" t="n"/>
      <c r="D282" s="9" t="n"/>
      <c r="E282" s="9" t="n"/>
      <c r="F282" s="9" t="n"/>
      <c r="G282" s="4" t="n"/>
      <c r="H282" s="5" t="n"/>
      <c r="I282" s="4" t="n"/>
      <c r="J282" s="4" t="n"/>
      <c r="K282" s="4" t="n"/>
      <c r="L282" s="11">
        <f>IF($G282="","",IF($F282="",1,MAX(1,COUNTIF($F$6:$F$505,$F282)-COUNTIFS($F$6:$F$505,$F282,$S$6:$S$505,"見送り"))))</f>
        <v/>
      </c>
      <c r="M282" s="12">
        <f>IF($G282="","",IF($K282="",'設定'!$C$6,$K282)/$L282)</f>
        <v/>
      </c>
      <c r="N282" s="12">
        <f>IF(OR($G282="",$I282=""),"",$I282-$G282-$M282-$J282)</f>
        <v/>
      </c>
      <c r="O282" s="13">
        <f>IF($N282="","",IF($G282&gt;0,$N282/$G282,0))</f>
        <v/>
      </c>
      <c r="P282" s="12">
        <f>IF($G282="","",$G282*$H282)</f>
        <v/>
      </c>
      <c r="Q282" s="12">
        <f>IF($N282="","",$N282-$I282*'設定'!$C$7)</f>
        <v/>
      </c>
      <c r="R282" s="14">
        <f>IF($N282="","",IF(AND($N282&gt;='設定'!$C$4,$O282&gt;='設定'!$C$5),IF($Q282&gt;=0,"仕入れOK","OK・下落に弱い"),"見送り"))</f>
        <v/>
      </c>
      <c r="S282" s="9" t="n"/>
      <c r="T282" s="8" t="n"/>
      <c r="U282" s="4" t="n"/>
      <c r="V282" s="8" t="n"/>
      <c r="W282" s="12">
        <f>IF(OR($G282="",$U282=""),"",$U282-$G282-$M282-$J282)</f>
        <v/>
      </c>
      <c r="X282" s="12">
        <f>IF(OR($I282="",$U282=""),"",$I282-$U282)</f>
        <v/>
      </c>
      <c r="Y282" s="11">
        <f>IF(OR($T282="",$V282=""),"",$V282-$T282)</f>
        <v/>
      </c>
      <c r="Z282" s="11">
        <f>IF(OR($S282="未発送",$S282="発送済",$S282="査定済",$S282="入金済"),1,0)</f>
        <v/>
      </c>
      <c r="AA282" s="11">
        <f>IF($U282="",0,1)</f>
        <v/>
      </c>
    </row>
    <row r="283">
      <c r="A283" s="8" t="n"/>
      <c r="B283" s="9" t="n"/>
      <c r="C283" s="10" t="n"/>
      <c r="D283" s="9" t="n"/>
      <c r="E283" s="9" t="n"/>
      <c r="F283" s="9" t="n"/>
      <c r="G283" s="4" t="n"/>
      <c r="H283" s="5" t="n"/>
      <c r="I283" s="4" t="n"/>
      <c r="J283" s="4" t="n"/>
      <c r="K283" s="4" t="n"/>
      <c r="L283" s="11">
        <f>IF($G283="","",IF($F283="",1,MAX(1,COUNTIF($F$6:$F$505,$F283)-COUNTIFS($F$6:$F$505,$F283,$S$6:$S$505,"見送り"))))</f>
        <v/>
      </c>
      <c r="M283" s="12">
        <f>IF($G283="","",IF($K283="",'設定'!$C$6,$K283)/$L283)</f>
        <v/>
      </c>
      <c r="N283" s="12">
        <f>IF(OR($G283="",$I283=""),"",$I283-$G283-$M283-$J283)</f>
        <v/>
      </c>
      <c r="O283" s="13">
        <f>IF($N283="","",IF($G283&gt;0,$N283/$G283,0))</f>
        <v/>
      </c>
      <c r="P283" s="12">
        <f>IF($G283="","",$G283*$H283)</f>
        <v/>
      </c>
      <c r="Q283" s="12">
        <f>IF($N283="","",$N283-$I283*'設定'!$C$7)</f>
        <v/>
      </c>
      <c r="R283" s="14">
        <f>IF($N283="","",IF(AND($N283&gt;='設定'!$C$4,$O283&gt;='設定'!$C$5),IF($Q283&gt;=0,"仕入れOK","OK・下落に弱い"),"見送り"))</f>
        <v/>
      </c>
      <c r="S283" s="9" t="n"/>
      <c r="T283" s="8" t="n"/>
      <c r="U283" s="4" t="n"/>
      <c r="V283" s="8" t="n"/>
      <c r="W283" s="12">
        <f>IF(OR($G283="",$U283=""),"",$U283-$G283-$M283-$J283)</f>
        <v/>
      </c>
      <c r="X283" s="12">
        <f>IF(OR($I283="",$U283=""),"",$I283-$U283)</f>
        <v/>
      </c>
      <c r="Y283" s="11">
        <f>IF(OR($T283="",$V283=""),"",$V283-$T283)</f>
        <v/>
      </c>
      <c r="Z283" s="11">
        <f>IF(OR($S283="未発送",$S283="発送済",$S283="査定済",$S283="入金済"),1,0)</f>
        <v/>
      </c>
      <c r="AA283" s="11">
        <f>IF($U283="",0,1)</f>
        <v/>
      </c>
    </row>
    <row r="284">
      <c r="A284" s="8" t="n"/>
      <c r="B284" s="9" t="n"/>
      <c r="C284" s="10" t="n"/>
      <c r="D284" s="9" t="n"/>
      <c r="E284" s="9" t="n"/>
      <c r="F284" s="9" t="n"/>
      <c r="G284" s="4" t="n"/>
      <c r="H284" s="5" t="n"/>
      <c r="I284" s="4" t="n"/>
      <c r="J284" s="4" t="n"/>
      <c r="K284" s="4" t="n"/>
      <c r="L284" s="11">
        <f>IF($G284="","",IF($F284="",1,MAX(1,COUNTIF($F$6:$F$505,$F284)-COUNTIFS($F$6:$F$505,$F284,$S$6:$S$505,"見送り"))))</f>
        <v/>
      </c>
      <c r="M284" s="12">
        <f>IF($G284="","",IF($K284="",'設定'!$C$6,$K284)/$L284)</f>
        <v/>
      </c>
      <c r="N284" s="12">
        <f>IF(OR($G284="",$I284=""),"",$I284-$G284-$M284-$J284)</f>
        <v/>
      </c>
      <c r="O284" s="13">
        <f>IF($N284="","",IF($G284&gt;0,$N284/$G284,0))</f>
        <v/>
      </c>
      <c r="P284" s="12">
        <f>IF($G284="","",$G284*$H284)</f>
        <v/>
      </c>
      <c r="Q284" s="12">
        <f>IF($N284="","",$N284-$I284*'設定'!$C$7)</f>
        <v/>
      </c>
      <c r="R284" s="14">
        <f>IF($N284="","",IF(AND($N284&gt;='設定'!$C$4,$O284&gt;='設定'!$C$5),IF($Q284&gt;=0,"仕入れOK","OK・下落に弱い"),"見送り"))</f>
        <v/>
      </c>
      <c r="S284" s="9" t="n"/>
      <c r="T284" s="8" t="n"/>
      <c r="U284" s="4" t="n"/>
      <c r="V284" s="8" t="n"/>
      <c r="W284" s="12">
        <f>IF(OR($G284="",$U284=""),"",$U284-$G284-$M284-$J284)</f>
        <v/>
      </c>
      <c r="X284" s="12">
        <f>IF(OR($I284="",$U284=""),"",$I284-$U284)</f>
        <v/>
      </c>
      <c r="Y284" s="11">
        <f>IF(OR($T284="",$V284=""),"",$V284-$T284)</f>
        <v/>
      </c>
      <c r="Z284" s="11">
        <f>IF(OR($S284="未発送",$S284="発送済",$S284="査定済",$S284="入金済"),1,0)</f>
        <v/>
      </c>
      <c r="AA284" s="11">
        <f>IF($U284="",0,1)</f>
        <v/>
      </c>
    </row>
    <row r="285">
      <c r="A285" s="8" t="n"/>
      <c r="B285" s="9" t="n"/>
      <c r="C285" s="10" t="n"/>
      <c r="D285" s="9" t="n"/>
      <c r="E285" s="9" t="n"/>
      <c r="F285" s="9" t="n"/>
      <c r="G285" s="4" t="n"/>
      <c r="H285" s="5" t="n"/>
      <c r="I285" s="4" t="n"/>
      <c r="J285" s="4" t="n"/>
      <c r="K285" s="4" t="n"/>
      <c r="L285" s="11">
        <f>IF($G285="","",IF($F285="",1,MAX(1,COUNTIF($F$6:$F$505,$F285)-COUNTIFS($F$6:$F$505,$F285,$S$6:$S$505,"見送り"))))</f>
        <v/>
      </c>
      <c r="M285" s="12">
        <f>IF($G285="","",IF($K285="",'設定'!$C$6,$K285)/$L285)</f>
        <v/>
      </c>
      <c r="N285" s="12">
        <f>IF(OR($G285="",$I285=""),"",$I285-$G285-$M285-$J285)</f>
        <v/>
      </c>
      <c r="O285" s="13">
        <f>IF($N285="","",IF($G285&gt;0,$N285/$G285,0))</f>
        <v/>
      </c>
      <c r="P285" s="12">
        <f>IF($G285="","",$G285*$H285)</f>
        <v/>
      </c>
      <c r="Q285" s="12">
        <f>IF($N285="","",$N285-$I285*'設定'!$C$7)</f>
        <v/>
      </c>
      <c r="R285" s="14">
        <f>IF($N285="","",IF(AND($N285&gt;='設定'!$C$4,$O285&gt;='設定'!$C$5),IF($Q285&gt;=0,"仕入れOK","OK・下落に弱い"),"見送り"))</f>
        <v/>
      </c>
      <c r="S285" s="9" t="n"/>
      <c r="T285" s="8" t="n"/>
      <c r="U285" s="4" t="n"/>
      <c r="V285" s="8" t="n"/>
      <c r="W285" s="12">
        <f>IF(OR($G285="",$U285=""),"",$U285-$G285-$M285-$J285)</f>
        <v/>
      </c>
      <c r="X285" s="12">
        <f>IF(OR($I285="",$U285=""),"",$I285-$U285)</f>
        <v/>
      </c>
      <c r="Y285" s="11">
        <f>IF(OR($T285="",$V285=""),"",$V285-$T285)</f>
        <v/>
      </c>
      <c r="Z285" s="11">
        <f>IF(OR($S285="未発送",$S285="発送済",$S285="査定済",$S285="入金済"),1,0)</f>
        <v/>
      </c>
      <c r="AA285" s="11">
        <f>IF($U285="",0,1)</f>
        <v/>
      </c>
    </row>
    <row r="286">
      <c r="A286" s="8" t="n"/>
      <c r="B286" s="9" t="n"/>
      <c r="C286" s="10" t="n"/>
      <c r="D286" s="9" t="n"/>
      <c r="E286" s="9" t="n"/>
      <c r="F286" s="9" t="n"/>
      <c r="G286" s="4" t="n"/>
      <c r="H286" s="5" t="n"/>
      <c r="I286" s="4" t="n"/>
      <c r="J286" s="4" t="n"/>
      <c r="K286" s="4" t="n"/>
      <c r="L286" s="11">
        <f>IF($G286="","",IF($F286="",1,MAX(1,COUNTIF($F$6:$F$505,$F286)-COUNTIFS($F$6:$F$505,$F286,$S$6:$S$505,"見送り"))))</f>
        <v/>
      </c>
      <c r="M286" s="12">
        <f>IF($G286="","",IF($K286="",'設定'!$C$6,$K286)/$L286)</f>
        <v/>
      </c>
      <c r="N286" s="12">
        <f>IF(OR($G286="",$I286=""),"",$I286-$G286-$M286-$J286)</f>
        <v/>
      </c>
      <c r="O286" s="13">
        <f>IF($N286="","",IF($G286&gt;0,$N286/$G286,0))</f>
        <v/>
      </c>
      <c r="P286" s="12">
        <f>IF($G286="","",$G286*$H286)</f>
        <v/>
      </c>
      <c r="Q286" s="12">
        <f>IF($N286="","",$N286-$I286*'設定'!$C$7)</f>
        <v/>
      </c>
      <c r="R286" s="14">
        <f>IF($N286="","",IF(AND($N286&gt;='設定'!$C$4,$O286&gt;='設定'!$C$5),IF($Q286&gt;=0,"仕入れOK","OK・下落に弱い"),"見送り"))</f>
        <v/>
      </c>
      <c r="S286" s="9" t="n"/>
      <c r="T286" s="8" t="n"/>
      <c r="U286" s="4" t="n"/>
      <c r="V286" s="8" t="n"/>
      <c r="W286" s="12">
        <f>IF(OR($G286="",$U286=""),"",$U286-$G286-$M286-$J286)</f>
        <v/>
      </c>
      <c r="X286" s="12">
        <f>IF(OR($I286="",$U286=""),"",$I286-$U286)</f>
        <v/>
      </c>
      <c r="Y286" s="11">
        <f>IF(OR($T286="",$V286=""),"",$V286-$T286)</f>
        <v/>
      </c>
      <c r="Z286" s="11">
        <f>IF(OR($S286="未発送",$S286="発送済",$S286="査定済",$S286="入金済"),1,0)</f>
        <v/>
      </c>
      <c r="AA286" s="11">
        <f>IF($U286="",0,1)</f>
        <v/>
      </c>
    </row>
    <row r="287">
      <c r="A287" s="8" t="n"/>
      <c r="B287" s="9" t="n"/>
      <c r="C287" s="10" t="n"/>
      <c r="D287" s="9" t="n"/>
      <c r="E287" s="9" t="n"/>
      <c r="F287" s="9" t="n"/>
      <c r="G287" s="4" t="n"/>
      <c r="H287" s="5" t="n"/>
      <c r="I287" s="4" t="n"/>
      <c r="J287" s="4" t="n"/>
      <c r="K287" s="4" t="n"/>
      <c r="L287" s="11">
        <f>IF($G287="","",IF($F287="",1,MAX(1,COUNTIF($F$6:$F$505,$F287)-COUNTIFS($F$6:$F$505,$F287,$S$6:$S$505,"見送り"))))</f>
        <v/>
      </c>
      <c r="M287" s="12">
        <f>IF($G287="","",IF($K287="",'設定'!$C$6,$K287)/$L287)</f>
        <v/>
      </c>
      <c r="N287" s="12">
        <f>IF(OR($G287="",$I287=""),"",$I287-$G287-$M287-$J287)</f>
        <v/>
      </c>
      <c r="O287" s="13">
        <f>IF($N287="","",IF($G287&gt;0,$N287/$G287,0))</f>
        <v/>
      </c>
      <c r="P287" s="12">
        <f>IF($G287="","",$G287*$H287)</f>
        <v/>
      </c>
      <c r="Q287" s="12">
        <f>IF($N287="","",$N287-$I287*'設定'!$C$7)</f>
        <v/>
      </c>
      <c r="R287" s="14">
        <f>IF($N287="","",IF(AND($N287&gt;='設定'!$C$4,$O287&gt;='設定'!$C$5),IF($Q287&gt;=0,"仕入れOK","OK・下落に弱い"),"見送り"))</f>
        <v/>
      </c>
      <c r="S287" s="9" t="n"/>
      <c r="T287" s="8" t="n"/>
      <c r="U287" s="4" t="n"/>
      <c r="V287" s="8" t="n"/>
      <c r="W287" s="12">
        <f>IF(OR($G287="",$U287=""),"",$U287-$G287-$M287-$J287)</f>
        <v/>
      </c>
      <c r="X287" s="12">
        <f>IF(OR($I287="",$U287=""),"",$I287-$U287)</f>
        <v/>
      </c>
      <c r="Y287" s="11">
        <f>IF(OR($T287="",$V287=""),"",$V287-$T287)</f>
        <v/>
      </c>
      <c r="Z287" s="11">
        <f>IF(OR($S287="未発送",$S287="発送済",$S287="査定済",$S287="入金済"),1,0)</f>
        <v/>
      </c>
      <c r="AA287" s="11">
        <f>IF($U287="",0,1)</f>
        <v/>
      </c>
    </row>
    <row r="288">
      <c r="A288" s="8" t="n"/>
      <c r="B288" s="9" t="n"/>
      <c r="C288" s="10" t="n"/>
      <c r="D288" s="9" t="n"/>
      <c r="E288" s="9" t="n"/>
      <c r="F288" s="9" t="n"/>
      <c r="G288" s="4" t="n"/>
      <c r="H288" s="5" t="n"/>
      <c r="I288" s="4" t="n"/>
      <c r="J288" s="4" t="n"/>
      <c r="K288" s="4" t="n"/>
      <c r="L288" s="11">
        <f>IF($G288="","",IF($F288="",1,MAX(1,COUNTIF($F$6:$F$505,$F288)-COUNTIFS($F$6:$F$505,$F288,$S$6:$S$505,"見送り"))))</f>
        <v/>
      </c>
      <c r="M288" s="12">
        <f>IF($G288="","",IF($K288="",'設定'!$C$6,$K288)/$L288)</f>
        <v/>
      </c>
      <c r="N288" s="12">
        <f>IF(OR($G288="",$I288=""),"",$I288-$G288-$M288-$J288)</f>
        <v/>
      </c>
      <c r="O288" s="13">
        <f>IF($N288="","",IF($G288&gt;0,$N288/$G288,0))</f>
        <v/>
      </c>
      <c r="P288" s="12">
        <f>IF($G288="","",$G288*$H288)</f>
        <v/>
      </c>
      <c r="Q288" s="12">
        <f>IF($N288="","",$N288-$I288*'設定'!$C$7)</f>
        <v/>
      </c>
      <c r="R288" s="14">
        <f>IF($N288="","",IF(AND($N288&gt;='設定'!$C$4,$O288&gt;='設定'!$C$5),IF($Q288&gt;=0,"仕入れOK","OK・下落に弱い"),"見送り"))</f>
        <v/>
      </c>
      <c r="S288" s="9" t="n"/>
      <c r="T288" s="8" t="n"/>
      <c r="U288" s="4" t="n"/>
      <c r="V288" s="8" t="n"/>
      <c r="W288" s="12">
        <f>IF(OR($G288="",$U288=""),"",$U288-$G288-$M288-$J288)</f>
        <v/>
      </c>
      <c r="X288" s="12">
        <f>IF(OR($I288="",$U288=""),"",$I288-$U288)</f>
        <v/>
      </c>
      <c r="Y288" s="11">
        <f>IF(OR($T288="",$V288=""),"",$V288-$T288)</f>
        <v/>
      </c>
      <c r="Z288" s="11">
        <f>IF(OR($S288="未発送",$S288="発送済",$S288="査定済",$S288="入金済"),1,0)</f>
        <v/>
      </c>
      <c r="AA288" s="11">
        <f>IF($U288="",0,1)</f>
        <v/>
      </c>
    </row>
    <row r="289">
      <c r="A289" s="8" t="n"/>
      <c r="B289" s="9" t="n"/>
      <c r="C289" s="10" t="n"/>
      <c r="D289" s="9" t="n"/>
      <c r="E289" s="9" t="n"/>
      <c r="F289" s="9" t="n"/>
      <c r="G289" s="4" t="n"/>
      <c r="H289" s="5" t="n"/>
      <c r="I289" s="4" t="n"/>
      <c r="J289" s="4" t="n"/>
      <c r="K289" s="4" t="n"/>
      <c r="L289" s="11">
        <f>IF($G289="","",IF($F289="",1,MAX(1,COUNTIF($F$6:$F$505,$F289)-COUNTIFS($F$6:$F$505,$F289,$S$6:$S$505,"見送り"))))</f>
        <v/>
      </c>
      <c r="M289" s="12">
        <f>IF($G289="","",IF($K289="",'設定'!$C$6,$K289)/$L289)</f>
        <v/>
      </c>
      <c r="N289" s="12">
        <f>IF(OR($G289="",$I289=""),"",$I289-$G289-$M289-$J289)</f>
        <v/>
      </c>
      <c r="O289" s="13">
        <f>IF($N289="","",IF($G289&gt;0,$N289/$G289,0))</f>
        <v/>
      </c>
      <c r="P289" s="12">
        <f>IF($G289="","",$G289*$H289)</f>
        <v/>
      </c>
      <c r="Q289" s="12">
        <f>IF($N289="","",$N289-$I289*'設定'!$C$7)</f>
        <v/>
      </c>
      <c r="R289" s="14">
        <f>IF($N289="","",IF(AND($N289&gt;='設定'!$C$4,$O289&gt;='設定'!$C$5),IF($Q289&gt;=0,"仕入れOK","OK・下落に弱い"),"見送り"))</f>
        <v/>
      </c>
      <c r="S289" s="9" t="n"/>
      <c r="T289" s="8" t="n"/>
      <c r="U289" s="4" t="n"/>
      <c r="V289" s="8" t="n"/>
      <c r="W289" s="12">
        <f>IF(OR($G289="",$U289=""),"",$U289-$G289-$M289-$J289)</f>
        <v/>
      </c>
      <c r="X289" s="12">
        <f>IF(OR($I289="",$U289=""),"",$I289-$U289)</f>
        <v/>
      </c>
      <c r="Y289" s="11">
        <f>IF(OR($T289="",$V289=""),"",$V289-$T289)</f>
        <v/>
      </c>
      <c r="Z289" s="11">
        <f>IF(OR($S289="未発送",$S289="発送済",$S289="査定済",$S289="入金済"),1,0)</f>
        <v/>
      </c>
      <c r="AA289" s="11">
        <f>IF($U289="",0,1)</f>
        <v/>
      </c>
    </row>
    <row r="290">
      <c r="A290" s="8" t="n"/>
      <c r="B290" s="9" t="n"/>
      <c r="C290" s="10" t="n"/>
      <c r="D290" s="9" t="n"/>
      <c r="E290" s="9" t="n"/>
      <c r="F290" s="9" t="n"/>
      <c r="G290" s="4" t="n"/>
      <c r="H290" s="5" t="n"/>
      <c r="I290" s="4" t="n"/>
      <c r="J290" s="4" t="n"/>
      <c r="K290" s="4" t="n"/>
      <c r="L290" s="11">
        <f>IF($G290="","",IF($F290="",1,MAX(1,COUNTIF($F$6:$F$505,$F290)-COUNTIFS($F$6:$F$505,$F290,$S$6:$S$505,"見送り"))))</f>
        <v/>
      </c>
      <c r="M290" s="12">
        <f>IF($G290="","",IF($K290="",'設定'!$C$6,$K290)/$L290)</f>
        <v/>
      </c>
      <c r="N290" s="12">
        <f>IF(OR($G290="",$I290=""),"",$I290-$G290-$M290-$J290)</f>
        <v/>
      </c>
      <c r="O290" s="13">
        <f>IF($N290="","",IF($G290&gt;0,$N290/$G290,0))</f>
        <v/>
      </c>
      <c r="P290" s="12">
        <f>IF($G290="","",$G290*$H290)</f>
        <v/>
      </c>
      <c r="Q290" s="12">
        <f>IF($N290="","",$N290-$I290*'設定'!$C$7)</f>
        <v/>
      </c>
      <c r="R290" s="14">
        <f>IF($N290="","",IF(AND($N290&gt;='設定'!$C$4,$O290&gt;='設定'!$C$5),IF($Q290&gt;=0,"仕入れOK","OK・下落に弱い"),"見送り"))</f>
        <v/>
      </c>
      <c r="S290" s="9" t="n"/>
      <c r="T290" s="8" t="n"/>
      <c r="U290" s="4" t="n"/>
      <c r="V290" s="8" t="n"/>
      <c r="W290" s="12">
        <f>IF(OR($G290="",$U290=""),"",$U290-$G290-$M290-$J290)</f>
        <v/>
      </c>
      <c r="X290" s="12">
        <f>IF(OR($I290="",$U290=""),"",$I290-$U290)</f>
        <v/>
      </c>
      <c r="Y290" s="11">
        <f>IF(OR($T290="",$V290=""),"",$V290-$T290)</f>
        <v/>
      </c>
      <c r="Z290" s="11">
        <f>IF(OR($S290="未発送",$S290="発送済",$S290="査定済",$S290="入金済"),1,0)</f>
        <v/>
      </c>
      <c r="AA290" s="11">
        <f>IF($U290="",0,1)</f>
        <v/>
      </c>
    </row>
    <row r="291">
      <c r="A291" s="8" t="n"/>
      <c r="B291" s="9" t="n"/>
      <c r="C291" s="10" t="n"/>
      <c r="D291" s="9" t="n"/>
      <c r="E291" s="9" t="n"/>
      <c r="F291" s="9" t="n"/>
      <c r="G291" s="4" t="n"/>
      <c r="H291" s="5" t="n"/>
      <c r="I291" s="4" t="n"/>
      <c r="J291" s="4" t="n"/>
      <c r="K291" s="4" t="n"/>
      <c r="L291" s="11">
        <f>IF($G291="","",IF($F291="",1,MAX(1,COUNTIF($F$6:$F$505,$F291)-COUNTIFS($F$6:$F$505,$F291,$S$6:$S$505,"見送り"))))</f>
        <v/>
      </c>
      <c r="M291" s="12">
        <f>IF($G291="","",IF($K291="",'設定'!$C$6,$K291)/$L291)</f>
        <v/>
      </c>
      <c r="N291" s="12">
        <f>IF(OR($G291="",$I291=""),"",$I291-$G291-$M291-$J291)</f>
        <v/>
      </c>
      <c r="O291" s="13">
        <f>IF($N291="","",IF($G291&gt;0,$N291/$G291,0))</f>
        <v/>
      </c>
      <c r="P291" s="12">
        <f>IF($G291="","",$G291*$H291)</f>
        <v/>
      </c>
      <c r="Q291" s="12">
        <f>IF($N291="","",$N291-$I291*'設定'!$C$7)</f>
        <v/>
      </c>
      <c r="R291" s="14">
        <f>IF($N291="","",IF(AND($N291&gt;='設定'!$C$4,$O291&gt;='設定'!$C$5),IF($Q291&gt;=0,"仕入れOK","OK・下落に弱い"),"見送り"))</f>
        <v/>
      </c>
      <c r="S291" s="9" t="n"/>
      <c r="T291" s="8" t="n"/>
      <c r="U291" s="4" t="n"/>
      <c r="V291" s="8" t="n"/>
      <c r="W291" s="12">
        <f>IF(OR($G291="",$U291=""),"",$U291-$G291-$M291-$J291)</f>
        <v/>
      </c>
      <c r="X291" s="12">
        <f>IF(OR($I291="",$U291=""),"",$I291-$U291)</f>
        <v/>
      </c>
      <c r="Y291" s="11">
        <f>IF(OR($T291="",$V291=""),"",$V291-$T291)</f>
        <v/>
      </c>
      <c r="Z291" s="11">
        <f>IF(OR($S291="未発送",$S291="発送済",$S291="査定済",$S291="入金済"),1,0)</f>
        <v/>
      </c>
      <c r="AA291" s="11">
        <f>IF($U291="",0,1)</f>
        <v/>
      </c>
    </row>
    <row r="292">
      <c r="A292" s="8" t="n"/>
      <c r="B292" s="9" t="n"/>
      <c r="C292" s="10" t="n"/>
      <c r="D292" s="9" t="n"/>
      <c r="E292" s="9" t="n"/>
      <c r="F292" s="9" t="n"/>
      <c r="G292" s="4" t="n"/>
      <c r="H292" s="5" t="n"/>
      <c r="I292" s="4" t="n"/>
      <c r="J292" s="4" t="n"/>
      <c r="K292" s="4" t="n"/>
      <c r="L292" s="11">
        <f>IF($G292="","",IF($F292="",1,MAX(1,COUNTIF($F$6:$F$505,$F292)-COUNTIFS($F$6:$F$505,$F292,$S$6:$S$505,"見送り"))))</f>
        <v/>
      </c>
      <c r="M292" s="12">
        <f>IF($G292="","",IF($K292="",'設定'!$C$6,$K292)/$L292)</f>
        <v/>
      </c>
      <c r="N292" s="12">
        <f>IF(OR($G292="",$I292=""),"",$I292-$G292-$M292-$J292)</f>
        <v/>
      </c>
      <c r="O292" s="13">
        <f>IF($N292="","",IF($G292&gt;0,$N292/$G292,0))</f>
        <v/>
      </c>
      <c r="P292" s="12">
        <f>IF($G292="","",$G292*$H292)</f>
        <v/>
      </c>
      <c r="Q292" s="12">
        <f>IF($N292="","",$N292-$I292*'設定'!$C$7)</f>
        <v/>
      </c>
      <c r="R292" s="14">
        <f>IF($N292="","",IF(AND($N292&gt;='設定'!$C$4,$O292&gt;='設定'!$C$5),IF($Q292&gt;=0,"仕入れOK","OK・下落に弱い"),"見送り"))</f>
        <v/>
      </c>
      <c r="S292" s="9" t="n"/>
      <c r="T292" s="8" t="n"/>
      <c r="U292" s="4" t="n"/>
      <c r="V292" s="8" t="n"/>
      <c r="W292" s="12">
        <f>IF(OR($G292="",$U292=""),"",$U292-$G292-$M292-$J292)</f>
        <v/>
      </c>
      <c r="X292" s="12">
        <f>IF(OR($I292="",$U292=""),"",$I292-$U292)</f>
        <v/>
      </c>
      <c r="Y292" s="11">
        <f>IF(OR($T292="",$V292=""),"",$V292-$T292)</f>
        <v/>
      </c>
      <c r="Z292" s="11">
        <f>IF(OR($S292="未発送",$S292="発送済",$S292="査定済",$S292="入金済"),1,0)</f>
        <v/>
      </c>
      <c r="AA292" s="11">
        <f>IF($U292="",0,1)</f>
        <v/>
      </c>
    </row>
    <row r="293">
      <c r="A293" s="8" t="n"/>
      <c r="B293" s="9" t="n"/>
      <c r="C293" s="10" t="n"/>
      <c r="D293" s="9" t="n"/>
      <c r="E293" s="9" t="n"/>
      <c r="F293" s="9" t="n"/>
      <c r="G293" s="4" t="n"/>
      <c r="H293" s="5" t="n"/>
      <c r="I293" s="4" t="n"/>
      <c r="J293" s="4" t="n"/>
      <c r="K293" s="4" t="n"/>
      <c r="L293" s="11">
        <f>IF($G293="","",IF($F293="",1,MAX(1,COUNTIF($F$6:$F$505,$F293)-COUNTIFS($F$6:$F$505,$F293,$S$6:$S$505,"見送り"))))</f>
        <v/>
      </c>
      <c r="M293" s="12">
        <f>IF($G293="","",IF($K293="",'設定'!$C$6,$K293)/$L293)</f>
        <v/>
      </c>
      <c r="N293" s="12">
        <f>IF(OR($G293="",$I293=""),"",$I293-$G293-$M293-$J293)</f>
        <v/>
      </c>
      <c r="O293" s="13">
        <f>IF($N293="","",IF($G293&gt;0,$N293/$G293,0))</f>
        <v/>
      </c>
      <c r="P293" s="12">
        <f>IF($G293="","",$G293*$H293)</f>
        <v/>
      </c>
      <c r="Q293" s="12">
        <f>IF($N293="","",$N293-$I293*'設定'!$C$7)</f>
        <v/>
      </c>
      <c r="R293" s="14">
        <f>IF($N293="","",IF(AND($N293&gt;='設定'!$C$4,$O293&gt;='設定'!$C$5),IF($Q293&gt;=0,"仕入れOK","OK・下落に弱い"),"見送り"))</f>
        <v/>
      </c>
      <c r="S293" s="9" t="n"/>
      <c r="T293" s="8" t="n"/>
      <c r="U293" s="4" t="n"/>
      <c r="V293" s="8" t="n"/>
      <c r="W293" s="12">
        <f>IF(OR($G293="",$U293=""),"",$U293-$G293-$M293-$J293)</f>
        <v/>
      </c>
      <c r="X293" s="12">
        <f>IF(OR($I293="",$U293=""),"",$I293-$U293)</f>
        <v/>
      </c>
      <c r="Y293" s="11">
        <f>IF(OR($T293="",$V293=""),"",$V293-$T293)</f>
        <v/>
      </c>
      <c r="Z293" s="11">
        <f>IF(OR($S293="未発送",$S293="発送済",$S293="査定済",$S293="入金済"),1,0)</f>
        <v/>
      </c>
      <c r="AA293" s="11">
        <f>IF($U293="",0,1)</f>
        <v/>
      </c>
    </row>
    <row r="294">
      <c r="A294" s="8" t="n"/>
      <c r="B294" s="9" t="n"/>
      <c r="C294" s="10" t="n"/>
      <c r="D294" s="9" t="n"/>
      <c r="E294" s="9" t="n"/>
      <c r="F294" s="9" t="n"/>
      <c r="G294" s="4" t="n"/>
      <c r="H294" s="5" t="n"/>
      <c r="I294" s="4" t="n"/>
      <c r="J294" s="4" t="n"/>
      <c r="K294" s="4" t="n"/>
      <c r="L294" s="11">
        <f>IF($G294="","",IF($F294="",1,MAX(1,COUNTIF($F$6:$F$505,$F294)-COUNTIFS($F$6:$F$505,$F294,$S$6:$S$505,"見送り"))))</f>
        <v/>
      </c>
      <c r="M294" s="12">
        <f>IF($G294="","",IF($K294="",'設定'!$C$6,$K294)/$L294)</f>
        <v/>
      </c>
      <c r="N294" s="12">
        <f>IF(OR($G294="",$I294=""),"",$I294-$G294-$M294-$J294)</f>
        <v/>
      </c>
      <c r="O294" s="13">
        <f>IF($N294="","",IF($G294&gt;0,$N294/$G294,0))</f>
        <v/>
      </c>
      <c r="P294" s="12">
        <f>IF($G294="","",$G294*$H294)</f>
        <v/>
      </c>
      <c r="Q294" s="12">
        <f>IF($N294="","",$N294-$I294*'設定'!$C$7)</f>
        <v/>
      </c>
      <c r="R294" s="14">
        <f>IF($N294="","",IF(AND($N294&gt;='設定'!$C$4,$O294&gt;='設定'!$C$5),IF($Q294&gt;=0,"仕入れOK","OK・下落に弱い"),"見送り"))</f>
        <v/>
      </c>
      <c r="S294" s="9" t="n"/>
      <c r="T294" s="8" t="n"/>
      <c r="U294" s="4" t="n"/>
      <c r="V294" s="8" t="n"/>
      <c r="W294" s="12">
        <f>IF(OR($G294="",$U294=""),"",$U294-$G294-$M294-$J294)</f>
        <v/>
      </c>
      <c r="X294" s="12">
        <f>IF(OR($I294="",$U294=""),"",$I294-$U294)</f>
        <v/>
      </c>
      <c r="Y294" s="11">
        <f>IF(OR($T294="",$V294=""),"",$V294-$T294)</f>
        <v/>
      </c>
      <c r="Z294" s="11">
        <f>IF(OR($S294="未発送",$S294="発送済",$S294="査定済",$S294="入金済"),1,0)</f>
        <v/>
      </c>
      <c r="AA294" s="11">
        <f>IF($U294="",0,1)</f>
        <v/>
      </c>
    </row>
    <row r="295">
      <c r="A295" s="8" t="n"/>
      <c r="B295" s="9" t="n"/>
      <c r="C295" s="10" t="n"/>
      <c r="D295" s="9" t="n"/>
      <c r="E295" s="9" t="n"/>
      <c r="F295" s="9" t="n"/>
      <c r="G295" s="4" t="n"/>
      <c r="H295" s="5" t="n"/>
      <c r="I295" s="4" t="n"/>
      <c r="J295" s="4" t="n"/>
      <c r="K295" s="4" t="n"/>
      <c r="L295" s="11">
        <f>IF($G295="","",IF($F295="",1,MAX(1,COUNTIF($F$6:$F$505,$F295)-COUNTIFS($F$6:$F$505,$F295,$S$6:$S$505,"見送り"))))</f>
        <v/>
      </c>
      <c r="M295" s="12">
        <f>IF($G295="","",IF($K295="",'設定'!$C$6,$K295)/$L295)</f>
        <v/>
      </c>
      <c r="N295" s="12">
        <f>IF(OR($G295="",$I295=""),"",$I295-$G295-$M295-$J295)</f>
        <v/>
      </c>
      <c r="O295" s="13">
        <f>IF($N295="","",IF($G295&gt;0,$N295/$G295,0))</f>
        <v/>
      </c>
      <c r="P295" s="12">
        <f>IF($G295="","",$G295*$H295)</f>
        <v/>
      </c>
      <c r="Q295" s="12">
        <f>IF($N295="","",$N295-$I295*'設定'!$C$7)</f>
        <v/>
      </c>
      <c r="R295" s="14">
        <f>IF($N295="","",IF(AND($N295&gt;='設定'!$C$4,$O295&gt;='設定'!$C$5),IF($Q295&gt;=0,"仕入れOK","OK・下落に弱い"),"見送り"))</f>
        <v/>
      </c>
      <c r="S295" s="9" t="n"/>
      <c r="T295" s="8" t="n"/>
      <c r="U295" s="4" t="n"/>
      <c r="V295" s="8" t="n"/>
      <c r="W295" s="12">
        <f>IF(OR($G295="",$U295=""),"",$U295-$G295-$M295-$J295)</f>
        <v/>
      </c>
      <c r="X295" s="12">
        <f>IF(OR($I295="",$U295=""),"",$I295-$U295)</f>
        <v/>
      </c>
      <c r="Y295" s="11">
        <f>IF(OR($T295="",$V295=""),"",$V295-$T295)</f>
        <v/>
      </c>
      <c r="Z295" s="11">
        <f>IF(OR($S295="未発送",$S295="発送済",$S295="査定済",$S295="入金済"),1,0)</f>
        <v/>
      </c>
      <c r="AA295" s="11">
        <f>IF($U295="",0,1)</f>
        <v/>
      </c>
    </row>
    <row r="296">
      <c r="A296" s="8" t="n"/>
      <c r="B296" s="9" t="n"/>
      <c r="C296" s="10" t="n"/>
      <c r="D296" s="9" t="n"/>
      <c r="E296" s="9" t="n"/>
      <c r="F296" s="9" t="n"/>
      <c r="G296" s="4" t="n"/>
      <c r="H296" s="5" t="n"/>
      <c r="I296" s="4" t="n"/>
      <c r="J296" s="4" t="n"/>
      <c r="K296" s="4" t="n"/>
      <c r="L296" s="11">
        <f>IF($G296="","",IF($F296="",1,MAX(1,COUNTIF($F$6:$F$505,$F296)-COUNTIFS($F$6:$F$505,$F296,$S$6:$S$505,"見送り"))))</f>
        <v/>
      </c>
      <c r="M296" s="12">
        <f>IF($G296="","",IF($K296="",'設定'!$C$6,$K296)/$L296)</f>
        <v/>
      </c>
      <c r="N296" s="12">
        <f>IF(OR($G296="",$I296=""),"",$I296-$G296-$M296-$J296)</f>
        <v/>
      </c>
      <c r="O296" s="13">
        <f>IF($N296="","",IF($G296&gt;0,$N296/$G296,0))</f>
        <v/>
      </c>
      <c r="P296" s="12">
        <f>IF($G296="","",$G296*$H296)</f>
        <v/>
      </c>
      <c r="Q296" s="12">
        <f>IF($N296="","",$N296-$I296*'設定'!$C$7)</f>
        <v/>
      </c>
      <c r="R296" s="14">
        <f>IF($N296="","",IF(AND($N296&gt;='設定'!$C$4,$O296&gt;='設定'!$C$5),IF($Q296&gt;=0,"仕入れOK","OK・下落に弱い"),"見送り"))</f>
        <v/>
      </c>
      <c r="S296" s="9" t="n"/>
      <c r="T296" s="8" t="n"/>
      <c r="U296" s="4" t="n"/>
      <c r="V296" s="8" t="n"/>
      <c r="W296" s="12">
        <f>IF(OR($G296="",$U296=""),"",$U296-$G296-$M296-$J296)</f>
        <v/>
      </c>
      <c r="X296" s="12">
        <f>IF(OR($I296="",$U296=""),"",$I296-$U296)</f>
        <v/>
      </c>
      <c r="Y296" s="11">
        <f>IF(OR($T296="",$V296=""),"",$V296-$T296)</f>
        <v/>
      </c>
      <c r="Z296" s="11">
        <f>IF(OR($S296="未発送",$S296="発送済",$S296="査定済",$S296="入金済"),1,0)</f>
        <v/>
      </c>
      <c r="AA296" s="11">
        <f>IF($U296="",0,1)</f>
        <v/>
      </c>
    </row>
    <row r="297">
      <c r="A297" s="8" t="n"/>
      <c r="B297" s="9" t="n"/>
      <c r="C297" s="10" t="n"/>
      <c r="D297" s="9" t="n"/>
      <c r="E297" s="9" t="n"/>
      <c r="F297" s="9" t="n"/>
      <c r="G297" s="4" t="n"/>
      <c r="H297" s="5" t="n"/>
      <c r="I297" s="4" t="n"/>
      <c r="J297" s="4" t="n"/>
      <c r="K297" s="4" t="n"/>
      <c r="L297" s="11">
        <f>IF($G297="","",IF($F297="",1,MAX(1,COUNTIF($F$6:$F$505,$F297)-COUNTIFS($F$6:$F$505,$F297,$S$6:$S$505,"見送り"))))</f>
        <v/>
      </c>
      <c r="M297" s="12">
        <f>IF($G297="","",IF($K297="",'設定'!$C$6,$K297)/$L297)</f>
        <v/>
      </c>
      <c r="N297" s="12">
        <f>IF(OR($G297="",$I297=""),"",$I297-$G297-$M297-$J297)</f>
        <v/>
      </c>
      <c r="O297" s="13">
        <f>IF($N297="","",IF($G297&gt;0,$N297/$G297,0))</f>
        <v/>
      </c>
      <c r="P297" s="12">
        <f>IF($G297="","",$G297*$H297)</f>
        <v/>
      </c>
      <c r="Q297" s="12">
        <f>IF($N297="","",$N297-$I297*'設定'!$C$7)</f>
        <v/>
      </c>
      <c r="R297" s="14">
        <f>IF($N297="","",IF(AND($N297&gt;='設定'!$C$4,$O297&gt;='設定'!$C$5),IF($Q297&gt;=0,"仕入れOK","OK・下落に弱い"),"見送り"))</f>
        <v/>
      </c>
      <c r="S297" s="9" t="n"/>
      <c r="T297" s="8" t="n"/>
      <c r="U297" s="4" t="n"/>
      <c r="V297" s="8" t="n"/>
      <c r="W297" s="12">
        <f>IF(OR($G297="",$U297=""),"",$U297-$G297-$M297-$J297)</f>
        <v/>
      </c>
      <c r="X297" s="12">
        <f>IF(OR($I297="",$U297=""),"",$I297-$U297)</f>
        <v/>
      </c>
      <c r="Y297" s="11">
        <f>IF(OR($T297="",$V297=""),"",$V297-$T297)</f>
        <v/>
      </c>
      <c r="Z297" s="11">
        <f>IF(OR($S297="未発送",$S297="発送済",$S297="査定済",$S297="入金済"),1,0)</f>
        <v/>
      </c>
      <c r="AA297" s="11">
        <f>IF($U297="",0,1)</f>
        <v/>
      </c>
    </row>
    <row r="298">
      <c r="A298" s="8" t="n"/>
      <c r="B298" s="9" t="n"/>
      <c r="C298" s="10" t="n"/>
      <c r="D298" s="9" t="n"/>
      <c r="E298" s="9" t="n"/>
      <c r="F298" s="9" t="n"/>
      <c r="G298" s="4" t="n"/>
      <c r="H298" s="5" t="n"/>
      <c r="I298" s="4" t="n"/>
      <c r="J298" s="4" t="n"/>
      <c r="K298" s="4" t="n"/>
      <c r="L298" s="11">
        <f>IF($G298="","",IF($F298="",1,MAX(1,COUNTIF($F$6:$F$505,$F298)-COUNTIFS($F$6:$F$505,$F298,$S$6:$S$505,"見送り"))))</f>
        <v/>
      </c>
      <c r="M298" s="12">
        <f>IF($G298="","",IF($K298="",'設定'!$C$6,$K298)/$L298)</f>
        <v/>
      </c>
      <c r="N298" s="12">
        <f>IF(OR($G298="",$I298=""),"",$I298-$G298-$M298-$J298)</f>
        <v/>
      </c>
      <c r="O298" s="13">
        <f>IF($N298="","",IF($G298&gt;0,$N298/$G298,0))</f>
        <v/>
      </c>
      <c r="P298" s="12">
        <f>IF($G298="","",$G298*$H298)</f>
        <v/>
      </c>
      <c r="Q298" s="12">
        <f>IF($N298="","",$N298-$I298*'設定'!$C$7)</f>
        <v/>
      </c>
      <c r="R298" s="14">
        <f>IF($N298="","",IF(AND($N298&gt;='設定'!$C$4,$O298&gt;='設定'!$C$5),IF($Q298&gt;=0,"仕入れOK","OK・下落に弱い"),"見送り"))</f>
        <v/>
      </c>
      <c r="S298" s="9" t="n"/>
      <c r="T298" s="8" t="n"/>
      <c r="U298" s="4" t="n"/>
      <c r="V298" s="8" t="n"/>
      <c r="W298" s="12">
        <f>IF(OR($G298="",$U298=""),"",$U298-$G298-$M298-$J298)</f>
        <v/>
      </c>
      <c r="X298" s="12">
        <f>IF(OR($I298="",$U298=""),"",$I298-$U298)</f>
        <v/>
      </c>
      <c r="Y298" s="11">
        <f>IF(OR($T298="",$V298=""),"",$V298-$T298)</f>
        <v/>
      </c>
      <c r="Z298" s="11">
        <f>IF(OR($S298="未発送",$S298="発送済",$S298="査定済",$S298="入金済"),1,0)</f>
        <v/>
      </c>
      <c r="AA298" s="11">
        <f>IF($U298="",0,1)</f>
        <v/>
      </c>
    </row>
    <row r="299">
      <c r="A299" s="8" t="n"/>
      <c r="B299" s="9" t="n"/>
      <c r="C299" s="10" t="n"/>
      <c r="D299" s="9" t="n"/>
      <c r="E299" s="9" t="n"/>
      <c r="F299" s="9" t="n"/>
      <c r="G299" s="4" t="n"/>
      <c r="H299" s="5" t="n"/>
      <c r="I299" s="4" t="n"/>
      <c r="J299" s="4" t="n"/>
      <c r="K299" s="4" t="n"/>
      <c r="L299" s="11">
        <f>IF($G299="","",IF($F299="",1,MAX(1,COUNTIF($F$6:$F$505,$F299)-COUNTIFS($F$6:$F$505,$F299,$S$6:$S$505,"見送り"))))</f>
        <v/>
      </c>
      <c r="M299" s="12">
        <f>IF($G299="","",IF($K299="",'設定'!$C$6,$K299)/$L299)</f>
        <v/>
      </c>
      <c r="N299" s="12">
        <f>IF(OR($G299="",$I299=""),"",$I299-$G299-$M299-$J299)</f>
        <v/>
      </c>
      <c r="O299" s="13">
        <f>IF($N299="","",IF($G299&gt;0,$N299/$G299,0))</f>
        <v/>
      </c>
      <c r="P299" s="12">
        <f>IF($G299="","",$G299*$H299)</f>
        <v/>
      </c>
      <c r="Q299" s="12">
        <f>IF($N299="","",$N299-$I299*'設定'!$C$7)</f>
        <v/>
      </c>
      <c r="R299" s="14">
        <f>IF($N299="","",IF(AND($N299&gt;='設定'!$C$4,$O299&gt;='設定'!$C$5),IF($Q299&gt;=0,"仕入れOK","OK・下落に弱い"),"見送り"))</f>
        <v/>
      </c>
      <c r="S299" s="9" t="n"/>
      <c r="T299" s="8" t="n"/>
      <c r="U299" s="4" t="n"/>
      <c r="V299" s="8" t="n"/>
      <c r="W299" s="12">
        <f>IF(OR($G299="",$U299=""),"",$U299-$G299-$M299-$J299)</f>
        <v/>
      </c>
      <c r="X299" s="12">
        <f>IF(OR($I299="",$U299=""),"",$I299-$U299)</f>
        <v/>
      </c>
      <c r="Y299" s="11">
        <f>IF(OR($T299="",$V299=""),"",$V299-$T299)</f>
        <v/>
      </c>
      <c r="Z299" s="11">
        <f>IF(OR($S299="未発送",$S299="発送済",$S299="査定済",$S299="入金済"),1,0)</f>
        <v/>
      </c>
      <c r="AA299" s="11">
        <f>IF($U299="",0,1)</f>
        <v/>
      </c>
    </row>
    <row r="300">
      <c r="A300" s="8" t="n"/>
      <c r="B300" s="9" t="n"/>
      <c r="C300" s="10" t="n"/>
      <c r="D300" s="9" t="n"/>
      <c r="E300" s="9" t="n"/>
      <c r="F300" s="9" t="n"/>
      <c r="G300" s="4" t="n"/>
      <c r="H300" s="5" t="n"/>
      <c r="I300" s="4" t="n"/>
      <c r="J300" s="4" t="n"/>
      <c r="K300" s="4" t="n"/>
      <c r="L300" s="11">
        <f>IF($G300="","",IF($F300="",1,MAX(1,COUNTIF($F$6:$F$505,$F300)-COUNTIFS($F$6:$F$505,$F300,$S$6:$S$505,"見送り"))))</f>
        <v/>
      </c>
      <c r="M300" s="12">
        <f>IF($G300="","",IF($K300="",'設定'!$C$6,$K300)/$L300)</f>
        <v/>
      </c>
      <c r="N300" s="12">
        <f>IF(OR($G300="",$I300=""),"",$I300-$G300-$M300-$J300)</f>
        <v/>
      </c>
      <c r="O300" s="13">
        <f>IF($N300="","",IF($G300&gt;0,$N300/$G300,0))</f>
        <v/>
      </c>
      <c r="P300" s="12">
        <f>IF($G300="","",$G300*$H300)</f>
        <v/>
      </c>
      <c r="Q300" s="12">
        <f>IF($N300="","",$N300-$I300*'設定'!$C$7)</f>
        <v/>
      </c>
      <c r="R300" s="14">
        <f>IF($N300="","",IF(AND($N300&gt;='設定'!$C$4,$O300&gt;='設定'!$C$5),IF($Q300&gt;=0,"仕入れOK","OK・下落に弱い"),"見送り"))</f>
        <v/>
      </c>
      <c r="S300" s="9" t="n"/>
      <c r="T300" s="8" t="n"/>
      <c r="U300" s="4" t="n"/>
      <c r="V300" s="8" t="n"/>
      <c r="W300" s="12">
        <f>IF(OR($G300="",$U300=""),"",$U300-$G300-$M300-$J300)</f>
        <v/>
      </c>
      <c r="X300" s="12">
        <f>IF(OR($I300="",$U300=""),"",$I300-$U300)</f>
        <v/>
      </c>
      <c r="Y300" s="11">
        <f>IF(OR($T300="",$V300=""),"",$V300-$T300)</f>
        <v/>
      </c>
      <c r="Z300" s="11">
        <f>IF(OR($S300="未発送",$S300="発送済",$S300="査定済",$S300="入金済"),1,0)</f>
        <v/>
      </c>
      <c r="AA300" s="11">
        <f>IF($U300="",0,1)</f>
        <v/>
      </c>
    </row>
    <row r="301">
      <c r="A301" s="8" t="n"/>
      <c r="B301" s="9" t="n"/>
      <c r="C301" s="10" t="n"/>
      <c r="D301" s="9" t="n"/>
      <c r="E301" s="9" t="n"/>
      <c r="F301" s="9" t="n"/>
      <c r="G301" s="4" t="n"/>
      <c r="H301" s="5" t="n"/>
      <c r="I301" s="4" t="n"/>
      <c r="J301" s="4" t="n"/>
      <c r="K301" s="4" t="n"/>
      <c r="L301" s="11">
        <f>IF($G301="","",IF($F301="",1,MAX(1,COUNTIF($F$6:$F$505,$F301)-COUNTIFS($F$6:$F$505,$F301,$S$6:$S$505,"見送り"))))</f>
        <v/>
      </c>
      <c r="M301" s="12">
        <f>IF($G301="","",IF($K301="",'設定'!$C$6,$K301)/$L301)</f>
        <v/>
      </c>
      <c r="N301" s="12">
        <f>IF(OR($G301="",$I301=""),"",$I301-$G301-$M301-$J301)</f>
        <v/>
      </c>
      <c r="O301" s="13">
        <f>IF($N301="","",IF($G301&gt;0,$N301/$G301,0))</f>
        <v/>
      </c>
      <c r="P301" s="12">
        <f>IF($G301="","",$G301*$H301)</f>
        <v/>
      </c>
      <c r="Q301" s="12">
        <f>IF($N301="","",$N301-$I301*'設定'!$C$7)</f>
        <v/>
      </c>
      <c r="R301" s="14">
        <f>IF($N301="","",IF(AND($N301&gt;='設定'!$C$4,$O301&gt;='設定'!$C$5),IF($Q301&gt;=0,"仕入れOK","OK・下落に弱い"),"見送り"))</f>
        <v/>
      </c>
      <c r="S301" s="9" t="n"/>
      <c r="T301" s="8" t="n"/>
      <c r="U301" s="4" t="n"/>
      <c r="V301" s="8" t="n"/>
      <c r="W301" s="12">
        <f>IF(OR($G301="",$U301=""),"",$U301-$G301-$M301-$J301)</f>
        <v/>
      </c>
      <c r="X301" s="12">
        <f>IF(OR($I301="",$U301=""),"",$I301-$U301)</f>
        <v/>
      </c>
      <c r="Y301" s="11">
        <f>IF(OR($T301="",$V301=""),"",$V301-$T301)</f>
        <v/>
      </c>
      <c r="Z301" s="11">
        <f>IF(OR($S301="未発送",$S301="発送済",$S301="査定済",$S301="入金済"),1,0)</f>
        <v/>
      </c>
      <c r="AA301" s="11">
        <f>IF($U301="",0,1)</f>
        <v/>
      </c>
    </row>
    <row r="302">
      <c r="A302" s="8" t="n"/>
      <c r="B302" s="9" t="n"/>
      <c r="C302" s="10" t="n"/>
      <c r="D302" s="9" t="n"/>
      <c r="E302" s="9" t="n"/>
      <c r="F302" s="9" t="n"/>
      <c r="G302" s="4" t="n"/>
      <c r="H302" s="5" t="n"/>
      <c r="I302" s="4" t="n"/>
      <c r="J302" s="4" t="n"/>
      <c r="K302" s="4" t="n"/>
      <c r="L302" s="11">
        <f>IF($G302="","",IF($F302="",1,MAX(1,COUNTIF($F$6:$F$505,$F302)-COUNTIFS($F$6:$F$505,$F302,$S$6:$S$505,"見送り"))))</f>
        <v/>
      </c>
      <c r="M302" s="12">
        <f>IF($G302="","",IF($K302="",'設定'!$C$6,$K302)/$L302)</f>
        <v/>
      </c>
      <c r="N302" s="12">
        <f>IF(OR($G302="",$I302=""),"",$I302-$G302-$M302-$J302)</f>
        <v/>
      </c>
      <c r="O302" s="13">
        <f>IF($N302="","",IF($G302&gt;0,$N302/$G302,0))</f>
        <v/>
      </c>
      <c r="P302" s="12">
        <f>IF($G302="","",$G302*$H302)</f>
        <v/>
      </c>
      <c r="Q302" s="12">
        <f>IF($N302="","",$N302-$I302*'設定'!$C$7)</f>
        <v/>
      </c>
      <c r="R302" s="14">
        <f>IF($N302="","",IF(AND($N302&gt;='設定'!$C$4,$O302&gt;='設定'!$C$5),IF($Q302&gt;=0,"仕入れOK","OK・下落に弱い"),"見送り"))</f>
        <v/>
      </c>
      <c r="S302" s="9" t="n"/>
      <c r="T302" s="8" t="n"/>
      <c r="U302" s="4" t="n"/>
      <c r="V302" s="8" t="n"/>
      <c r="W302" s="12">
        <f>IF(OR($G302="",$U302=""),"",$U302-$G302-$M302-$J302)</f>
        <v/>
      </c>
      <c r="X302" s="12">
        <f>IF(OR($I302="",$U302=""),"",$I302-$U302)</f>
        <v/>
      </c>
      <c r="Y302" s="11">
        <f>IF(OR($T302="",$V302=""),"",$V302-$T302)</f>
        <v/>
      </c>
      <c r="Z302" s="11">
        <f>IF(OR($S302="未発送",$S302="発送済",$S302="査定済",$S302="入金済"),1,0)</f>
        <v/>
      </c>
      <c r="AA302" s="11">
        <f>IF($U302="",0,1)</f>
        <v/>
      </c>
    </row>
    <row r="303">
      <c r="A303" s="8" t="n"/>
      <c r="B303" s="9" t="n"/>
      <c r="C303" s="10" t="n"/>
      <c r="D303" s="9" t="n"/>
      <c r="E303" s="9" t="n"/>
      <c r="F303" s="9" t="n"/>
      <c r="G303" s="4" t="n"/>
      <c r="H303" s="5" t="n"/>
      <c r="I303" s="4" t="n"/>
      <c r="J303" s="4" t="n"/>
      <c r="K303" s="4" t="n"/>
      <c r="L303" s="11">
        <f>IF($G303="","",IF($F303="",1,MAX(1,COUNTIF($F$6:$F$505,$F303)-COUNTIFS($F$6:$F$505,$F303,$S$6:$S$505,"見送り"))))</f>
        <v/>
      </c>
      <c r="M303" s="12">
        <f>IF($G303="","",IF($K303="",'設定'!$C$6,$K303)/$L303)</f>
        <v/>
      </c>
      <c r="N303" s="12">
        <f>IF(OR($G303="",$I303=""),"",$I303-$G303-$M303-$J303)</f>
        <v/>
      </c>
      <c r="O303" s="13">
        <f>IF($N303="","",IF($G303&gt;0,$N303/$G303,0))</f>
        <v/>
      </c>
      <c r="P303" s="12">
        <f>IF($G303="","",$G303*$H303)</f>
        <v/>
      </c>
      <c r="Q303" s="12">
        <f>IF($N303="","",$N303-$I303*'設定'!$C$7)</f>
        <v/>
      </c>
      <c r="R303" s="14">
        <f>IF($N303="","",IF(AND($N303&gt;='設定'!$C$4,$O303&gt;='設定'!$C$5),IF($Q303&gt;=0,"仕入れOK","OK・下落に弱い"),"見送り"))</f>
        <v/>
      </c>
      <c r="S303" s="9" t="n"/>
      <c r="T303" s="8" t="n"/>
      <c r="U303" s="4" t="n"/>
      <c r="V303" s="8" t="n"/>
      <c r="W303" s="12">
        <f>IF(OR($G303="",$U303=""),"",$U303-$G303-$M303-$J303)</f>
        <v/>
      </c>
      <c r="X303" s="12">
        <f>IF(OR($I303="",$U303=""),"",$I303-$U303)</f>
        <v/>
      </c>
      <c r="Y303" s="11">
        <f>IF(OR($T303="",$V303=""),"",$V303-$T303)</f>
        <v/>
      </c>
      <c r="Z303" s="11">
        <f>IF(OR($S303="未発送",$S303="発送済",$S303="査定済",$S303="入金済"),1,0)</f>
        <v/>
      </c>
      <c r="AA303" s="11">
        <f>IF($U303="",0,1)</f>
        <v/>
      </c>
    </row>
    <row r="304">
      <c r="A304" s="8" t="n"/>
      <c r="B304" s="9" t="n"/>
      <c r="C304" s="10" t="n"/>
      <c r="D304" s="9" t="n"/>
      <c r="E304" s="9" t="n"/>
      <c r="F304" s="9" t="n"/>
      <c r="G304" s="4" t="n"/>
      <c r="H304" s="5" t="n"/>
      <c r="I304" s="4" t="n"/>
      <c r="J304" s="4" t="n"/>
      <c r="K304" s="4" t="n"/>
      <c r="L304" s="11">
        <f>IF($G304="","",IF($F304="",1,MAX(1,COUNTIF($F$6:$F$505,$F304)-COUNTIFS($F$6:$F$505,$F304,$S$6:$S$505,"見送り"))))</f>
        <v/>
      </c>
      <c r="M304" s="12">
        <f>IF($G304="","",IF($K304="",'設定'!$C$6,$K304)/$L304)</f>
        <v/>
      </c>
      <c r="N304" s="12">
        <f>IF(OR($G304="",$I304=""),"",$I304-$G304-$M304-$J304)</f>
        <v/>
      </c>
      <c r="O304" s="13">
        <f>IF($N304="","",IF($G304&gt;0,$N304/$G304,0))</f>
        <v/>
      </c>
      <c r="P304" s="12">
        <f>IF($G304="","",$G304*$H304)</f>
        <v/>
      </c>
      <c r="Q304" s="12">
        <f>IF($N304="","",$N304-$I304*'設定'!$C$7)</f>
        <v/>
      </c>
      <c r="R304" s="14">
        <f>IF($N304="","",IF(AND($N304&gt;='設定'!$C$4,$O304&gt;='設定'!$C$5),IF($Q304&gt;=0,"仕入れOK","OK・下落に弱い"),"見送り"))</f>
        <v/>
      </c>
      <c r="S304" s="9" t="n"/>
      <c r="T304" s="8" t="n"/>
      <c r="U304" s="4" t="n"/>
      <c r="V304" s="8" t="n"/>
      <c r="W304" s="12">
        <f>IF(OR($G304="",$U304=""),"",$U304-$G304-$M304-$J304)</f>
        <v/>
      </c>
      <c r="X304" s="12">
        <f>IF(OR($I304="",$U304=""),"",$I304-$U304)</f>
        <v/>
      </c>
      <c r="Y304" s="11">
        <f>IF(OR($T304="",$V304=""),"",$V304-$T304)</f>
        <v/>
      </c>
      <c r="Z304" s="11">
        <f>IF(OR($S304="未発送",$S304="発送済",$S304="査定済",$S304="入金済"),1,0)</f>
        <v/>
      </c>
      <c r="AA304" s="11">
        <f>IF($U304="",0,1)</f>
        <v/>
      </c>
    </row>
    <row r="305">
      <c r="A305" s="8" t="n"/>
      <c r="B305" s="9" t="n"/>
      <c r="C305" s="10" t="n"/>
      <c r="D305" s="9" t="n"/>
      <c r="E305" s="9" t="n"/>
      <c r="F305" s="9" t="n"/>
      <c r="G305" s="4" t="n"/>
      <c r="H305" s="5" t="n"/>
      <c r="I305" s="4" t="n"/>
      <c r="J305" s="4" t="n"/>
      <c r="K305" s="4" t="n"/>
      <c r="L305" s="11">
        <f>IF($G305="","",IF($F305="",1,MAX(1,COUNTIF($F$6:$F$505,$F305)-COUNTIFS($F$6:$F$505,$F305,$S$6:$S$505,"見送り"))))</f>
        <v/>
      </c>
      <c r="M305" s="12">
        <f>IF($G305="","",IF($K305="",'設定'!$C$6,$K305)/$L305)</f>
        <v/>
      </c>
      <c r="N305" s="12">
        <f>IF(OR($G305="",$I305=""),"",$I305-$G305-$M305-$J305)</f>
        <v/>
      </c>
      <c r="O305" s="13">
        <f>IF($N305="","",IF($G305&gt;0,$N305/$G305,0))</f>
        <v/>
      </c>
      <c r="P305" s="12">
        <f>IF($G305="","",$G305*$H305)</f>
        <v/>
      </c>
      <c r="Q305" s="12">
        <f>IF($N305="","",$N305-$I305*'設定'!$C$7)</f>
        <v/>
      </c>
      <c r="R305" s="14">
        <f>IF($N305="","",IF(AND($N305&gt;='設定'!$C$4,$O305&gt;='設定'!$C$5),IF($Q305&gt;=0,"仕入れOK","OK・下落に弱い"),"見送り"))</f>
        <v/>
      </c>
      <c r="S305" s="9" t="n"/>
      <c r="T305" s="8" t="n"/>
      <c r="U305" s="4" t="n"/>
      <c r="V305" s="8" t="n"/>
      <c r="W305" s="12">
        <f>IF(OR($G305="",$U305=""),"",$U305-$G305-$M305-$J305)</f>
        <v/>
      </c>
      <c r="X305" s="12">
        <f>IF(OR($I305="",$U305=""),"",$I305-$U305)</f>
        <v/>
      </c>
      <c r="Y305" s="11">
        <f>IF(OR($T305="",$V305=""),"",$V305-$T305)</f>
        <v/>
      </c>
      <c r="Z305" s="11">
        <f>IF(OR($S305="未発送",$S305="発送済",$S305="査定済",$S305="入金済"),1,0)</f>
        <v/>
      </c>
      <c r="AA305" s="11">
        <f>IF($U305="",0,1)</f>
        <v/>
      </c>
    </row>
    <row r="306">
      <c r="A306" s="8" t="n"/>
      <c r="B306" s="9" t="n"/>
      <c r="C306" s="10" t="n"/>
      <c r="D306" s="9" t="n"/>
      <c r="E306" s="9" t="n"/>
      <c r="F306" s="9" t="n"/>
      <c r="G306" s="4" t="n"/>
      <c r="H306" s="5" t="n"/>
      <c r="I306" s="4" t="n"/>
      <c r="J306" s="4" t="n"/>
      <c r="K306" s="4" t="n"/>
      <c r="L306" s="11">
        <f>IF($G306="","",IF($F306="",1,MAX(1,COUNTIF($F$6:$F$505,$F306)-COUNTIFS($F$6:$F$505,$F306,$S$6:$S$505,"見送り"))))</f>
        <v/>
      </c>
      <c r="M306" s="12">
        <f>IF($G306="","",IF($K306="",'設定'!$C$6,$K306)/$L306)</f>
        <v/>
      </c>
      <c r="N306" s="12">
        <f>IF(OR($G306="",$I306=""),"",$I306-$G306-$M306-$J306)</f>
        <v/>
      </c>
      <c r="O306" s="13">
        <f>IF($N306="","",IF($G306&gt;0,$N306/$G306,0))</f>
        <v/>
      </c>
      <c r="P306" s="12">
        <f>IF($G306="","",$G306*$H306)</f>
        <v/>
      </c>
      <c r="Q306" s="12">
        <f>IF($N306="","",$N306-$I306*'設定'!$C$7)</f>
        <v/>
      </c>
      <c r="R306" s="14">
        <f>IF($N306="","",IF(AND($N306&gt;='設定'!$C$4,$O306&gt;='設定'!$C$5),IF($Q306&gt;=0,"仕入れOK","OK・下落に弱い"),"見送り"))</f>
        <v/>
      </c>
      <c r="S306" s="9" t="n"/>
      <c r="T306" s="8" t="n"/>
      <c r="U306" s="4" t="n"/>
      <c r="V306" s="8" t="n"/>
      <c r="W306" s="12">
        <f>IF(OR($G306="",$U306=""),"",$U306-$G306-$M306-$J306)</f>
        <v/>
      </c>
      <c r="X306" s="12">
        <f>IF(OR($I306="",$U306=""),"",$I306-$U306)</f>
        <v/>
      </c>
      <c r="Y306" s="11">
        <f>IF(OR($T306="",$V306=""),"",$V306-$T306)</f>
        <v/>
      </c>
      <c r="Z306" s="11">
        <f>IF(OR($S306="未発送",$S306="発送済",$S306="査定済",$S306="入金済"),1,0)</f>
        <v/>
      </c>
      <c r="AA306" s="11">
        <f>IF($U306="",0,1)</f>
        <v/>
      </c>
    </row>
    <row r="307">
      <c r="A307" s="8" t="n"/>
      <c r="B307" s="9" t="n"/>
      <c r="C307" s="10" t="n"/>
      <c r="D307" s="9" t="n"/>
      <c r="E307" s="9" t="n"/>
      <c r="F307" s="9" t="n"/>
      <c r="G307" s="4" t="n"/>
      <c r="H307" s="5" t="n"/>
      <c r="I307" s="4" t="n"/>
      <c r="J307" s="4" t="n"/>
      <c r="K307" s="4" t="n"/>
      <c r="L307" s="11">
        <f>IF($G307="","",IF($F307="",1,MAX(1,COUNTIF($F$6:$F$505,$F307)-COUNTIFS($F$6:$F$505,$F307,$S$6:$S$505,"見送り"))))</f>
        <v/>
      </c>
      <c r="M307" s="12">
        <f>IF($G307="","",IF($K307="",'設定'!$C$6,$K307)/$L307)</f>
        <v/>
      </c>
      <c r="N307" s="12">
        <f>IF(OR($G307="",$I307=""),"",$I307-$G307-$M307-$J307)</f>
        <v/>
      </c>
      <c r="O307" s="13">
        <f>IF($N307="","",IF($G307&gt;0,$N307/$G307,0))</f>
        <v/>
      </c>
      <c r="P307" s="12">
        <f>IF($G307="","",$G307*$H307)</f>
        <v/>
      </c>
      <c r="Q307" s="12">
        <f>IF($N307="","",$N307-$I307*'設定'!$C$7)</f>
        <v/>
      </c>
      <c r="R307" s="14">
        <f>IF($N307="","",IF(AND($N307&gt;='設定'!$C$4,$O307&gt;='設定'!$C$5),IF($Q307&gt;=0,"仕入れOK","OK・下落に弱い"),"見送り"))</f>
        <v/>
      </c>
      <c r="S307" s="9" t="n"/>
      <c r="T307" s="8" t="n"/>
      <c r="U307" s="4" t="n"/>
      <c r="V307" s="8" t="n"/>
      <c r="W307" s="12">
        <f>IF(OR($G307="",$U307=""),"",$U307-$G307-$M307-$J307)</f>
        <v/>
      </c>
      <c r="X307" s="12">
        <f>IF(OR($I307="",$U307=""),"",$I307-$U307)</f>
        <v/>
      </c>
      <c r="Y307" s="11">
        <f>IF(OR($T307="",$V307=""),"",$V307-$T307)</f>
        <v/>
      </c>
      <c r="Z307" s="11">
        <f>IF(OR($S307="未発送",$S307="発送済",$S307="査定済",$S307="入金済"),1,0)</f>
        <v/>
      </c>
      <c r="AA307" s="11">
        <f>IF($U307="",0,1)</f>
        <v/>
      </c>
    </row>
    <row r="308">
      <c r="A308" s="8" t="n"/>
      <c r="B308" s="9" t="n"/>
      <c r="C308" s="10" t="n"/>
      <c r="D308" s="9" t="n"/>
      <c r="E308" s="9" t="n"/>
      <c r="F308" s="9" t="n"/>
      <c r="G308" s="4" t="n"/>
      <c r="H308" s="5" t="n"/>
      <c r="I308" s="4" t="n"/>
      <c r="J308" s="4" t="n"/>
      <c r="K308" s="4" t="n"/>
      <c r="L308" s="11">
        <f>IF($G308="","",IF($F308="",1,MAX(1,COUNTIF($F$6:$F$505,$F308)-COUNTIFS($F$6:$F$505,$F308,$S$6:$S$505,"見送り"))))</f>
        <v/>
      </c>
      <c r="M308" s="12">
        <f>IF($G308="","",IF($K308="",'設定'!$C$6,$K308)/$L308)</f>
        <v/>
      </c>
      <c r="N308" s="12">
        <f>IF(OR($G308="",$I308=""),"",$I308-$G308-$M308-$J308)</f>
        <v/>
      </c>
      <c r="O308" s="13">
        <f>IF($N308="","",IF($G308&gt;0,$N308/$G308,0))</f>
        <v/>
      </c>
      <c r="P308" s="12">
        <f>IF($G308="","",$G308*$H308)</f>
        <v/>
      </c>
      <c r="Q308" s="12">
        <f>IF($N308="","",$N308-$I308*'設定'!$C$7)</f>
        <v/>
      </c>
      <c r="R308" s="14">
        <f>IF($N308="","",IF(AND($N308&gt;='設定'!$C$4,$O308&gt;='設定'!$C$5),IF($Q308&gt;=0,"仕入れOK","OK・下落に弱い"),"見送り"))</f>
        <v/>
      </c>
      <c r="S308" s="9" t="n"/>
      <c r="T308" s="8" t="n"/>
      <c r="U308" s="4" t="n"/>
      <c r="V308" s="8" t="n"/>
      <c r="W308" s="12">
        <f>IF(OR($G308="",$U308=""),"",$U308-$G308-$M308-$J308)</f>
        <v/>
      </c>
      <c r="X308" s="12">
        <f>IF(OR($I308="",$U308=""),"",$I308-$U308)</f>
        <v/>
      </c>
      <c r="Y308" s="11">
        <f>IF(OR($T308="",$V308=""),"",$V308-$T308)</f>
        <v/>
      </c>
      <c r="Z308" s="11">
        <f>IF(OR($S308="未発送",$S308="発送済",$S308="査定済",$S308="入金済"),1,0)</f>
        <v/>
      </c>
      <c r="AA308" s="11">
        <f>IF($U308="",0,1)</f>
        <v/>
      </c>
    </row>
    <row r="309">
      <c r="A309" s="8" t="n"/>
      <c r="B309" s="9" t="n"/>
      <c r="C309" s="10" t="n"/>
      <c r="D309" s="9" t="n"/>
      <c r="E309" s="9" t="n"/>
      <c r="F309" s="9" t="n"/>
      <c r="G309" s="4" t="n"/>
      <c r="H309" s="5" t="n"/>
      <c r="I309" s="4" t="n"/>
      <c r="J309" s="4" t="n"/>
      <c r="K309" s="4" t="n"/>
      <c r="L309" s="11">
        <f>IF($G309="","",IF($F309="",1,MAX(1,COUNTIF($F$6:$F$505,$F309)-COUNTIFS($F$6:$F$505,$F309,$S$6:$S$505,"見送り"))))</f>
        <v/>
      </c>
      <c r="M309" s="12">
        <f>IF($G309="","",IF($K309="",'設定'!$C$6,$K309)/$L309)</f>
        <v/>
      </c>
      <c r="N309" s="12">
        <f>IF(OR($G309="",$I309=""),"",$I309-$G309-$M309-$J309)</f>
        <v/>
      </c>
      <c r="O309" s="13">
        <f>IF($N309="","",IF($G309&gt;0,$N309/$G309,0))</f>
        <v/>
      </c>
      <c r="P309" s="12">
        <f>IF($G309="","",$G309*$H309)</f>
        <v/>
      </c>
      <c r="Q309" s="12">
        <f>IF($N309="","",$N309-$I309*'設定'!$C$7)</f>
        <v/>
      </c>
      <c r="R309" s="14">
        <f>IF($N309="","",IF(AND($N309&gt;='設定'!$C$4,$O309&gt;='設定'!$C$5),IF($Q309&gt;=0,"仕入れOK","OK・下落に弱い"),"見送り"))</f>
        <v/>
      </c>
      <c r="S309" s="9" t="n"/>
      <c r="T309" s="8" t="n"/>
      <c r="U309" s="4" t="n"/>
      <c r="V309" s="8" t="n"/>
      <c r="W309" s="12">
        <f>IF(OR($G309="",$U309=""),"",$U309-$G309-$M309-$J309)</f>
        <v/>
      </c>
      <c r="X309" s="12">
        <f>IF(OR($I309="",$U309=""),"",$I309-$U309)</f>
        <v/>
      </c>
      <c r="Y309" s="11">
        <f>IF(OR($T309="",$V309=""),"",$V309-$T309)</f>
        <v/>
      </c>
      <c r="Z309" s="11">
        <f>IF(OR($S309="未発送",$S309="発送済",$S309="査定済",$S309="入金済"),1,0)</f>
        <v/>
      </c>
      <c r="AA309" s="11">
        <f>IF($U309="",0,1)</f>
        <v/>
      </c>
    </row>
    <row r="310">
      <c r="A310" s="8" t="n"/>
      <c r="B310" s="9" t="n"/>
      <c r="C310" s="10" t="n"/>
      <c r="D310" s="9" t="n"/>
      <c r="E310" s="9" t="n"/>
      <c r="F310" s="9" t="n"/>
      <c r="G310" s="4" t="n"/>
      <c r="H310" s="5" t="n"/>
      <c r="I310" s="4" t="n"/>
      <c r="J310" s="4" t="n"/>
      <c r="K310" s="4" t="n"/>
      <c r="L310" s="11">
        <f>IF($G310="","",IF($F310="",1,MAX(1,COUNTIF($F$6:$F$505,$F310)-COUNTIFS($F$6:$F$505,$F310,$S$6:$S$505,"見送り"))))</f>
        <v/>
      </c>
      <c r="M310" s="12">
        <f>IF($G310="","",IF($K310="",'設定'!$C$6,$K310)/$L310)</f>
        <v/>
      </c>
      <c r="N310" s="12">
        <f>IF(OR($G310="",$I310=""),"",$I310-$G310-$M310-$J310)</f>
        <v/>
      </c>
      <c r="O310" s="13">
        <f>IF($N310="","",IF($G310&gt;0,$N310/$G310,0))</f>
        <v/>
      </c>
      <c r="P310" s="12">
        <f>IF($G310="","",$G310*$H310)</f>
        <v/>
      </c>
      <c r="Q310" s="12">
        <f>IF($N310="","",$N310-$I310*'設定'!$C$7)</f>
        <v/>
      </c>
      <c r="R310" s="14">
        <f>IF($N310="","",IF(AND($N310&gt;='設定'!$C$4,$O310&gt;='設定'!$C$5),IF($Q310&gt;=0,"仕入れOK","OK・下落に弱い"),"見送り"))</f>
        <v/>
      </c>
      <c r="S310" s="9" t="n"/>
      <c r="T310" s="8" t="n"/>
      <c r="U310" s="4" t="n"/>
      <c r="V310" s="8" t="n"/>
      <c r="W310" s="12">
        <f>IF(OR($G310="",$U310=""),"",$U310-$G310-$M310-$J310)</f>
        <v/>
      </c>
      <c r="X310" s="12">
        <f>IF(OR($I310="",$U310=""),"",$I310-$U310)</f>
        <v/>
      </c>
      <c r="Y310" s="11">
        <f>IF(OR($T310="",$V310=""),"",$V310-$T310)</f>
        <v/>
      </c>
      <c r="Z310" s="11">
        <f>IF(OR($S310="未発送",$S310="発送済",$S310="査定済",$S310="入金済"),1,0)</f>
        <v/>
      </c>
      <c r="AA310" s="11">
        <f>IF($U310="",0,1)</f>
        <v/>
      </c>
    </row>
    <row r="311">
      <c r="A311" s="8" t="n"/>
      <c r="B311" s="9" t="n"/>
      <c r="C311" s="10" t="n"/>
      <c r="D311" s="9" t="n"/>
      <c r="E311" s="9" t="n"/>
      <c r="F311" s="9" t="n"/>
      <c r="G311" s="4" t="n"/>
      <c r="H311" s="5" t="n"/>
      <c r="I311" s="4" t="n"/>
      <c r="J311" s="4" t="n"/>
      <c r="K311" s="4" t="n"/>
      <c r="L311" s="11">
        <f>IF($G311="","",IF($F311="",1,MAX(1,COUNTIF($F$6:$F$505,$F311)-COUNTIFS($F$6:$F$505,$F311,$S$6:$S$505,"見送り"))))</f>
        <v/>
      </c>
      <c r="M311" s="12">
        <f>IF($G311="","",IF($K311="",'設定'!$C$6,$K311)/$L311)</f>
        <v/>
      </c>
      <c r="N311" s="12">
        <f>IF(OR($G311="",$I311=""),"",$I311-$G311-$M311-$J311)</f>
        <v/>
      </c>
      <c r="O311" s="13">
        <f>IF($N311="","",IF($G311&gt;0,$N311/$G311,0))</f>
        <v/>
      </c>
      <c r="P311" s="12">
        <f>IF($G311="","",$G311*$H311)</f>
        <v/>
      </c>
      <c r="Q311" s="12">
        <f>IF($N311="","",$N311-$I311*'設定'!$C$7)</f>
        <v/>
      </c>
      <c r="R311" s="14">
        <f>IF($N311="","",IF(AND($N311&gt;='設定'!$C$4,$O311&gt;='設定'!$C$5),IF($Q311&gt;=0,"仕入れOK","OK・下落に弱い"),"見送り"))</f>
        <v/>
      </c>
      <c r="S311" s="9" t="n"/>
      <c r="T311" s="8" t="n"/>
      <c r="U311" s="4" t="n"/>
      <c r="V311" s="8" t="n"/>
      <c r="W311" s="12">
        <f>IF(OR($G311="",$U311=""),"",$U311-$G311-$M311-$J311)</f>
        <v/>
      </c>
      <c r="X311" s="12">
        <f>IF(OR($I311="",$U311=""),"",$I311-$U311)</f>
        <v/>
      </c>
      <c r="Y311" s="11">
        <f>IF(OR($T311="",$V311=""),"",$V311-$T311)</f>
        <v/>
      </c>
      <c r="Z311" s="11">
        <f>IF(OR($S311="未発送",$S311="発送済",$S311="査定済",$S311="入金済"),1,0)</f>
        <v/>
      </c>
      <c r="AA311" s="11">
        <f>IF($U311="",0,1)</f>
        <v/>
      </c>
    </row>
    <row r="312">
      <c r="A312" s="8" t="n"/>
      <c r="B312" s="9" t="n"/>
      <c r="C312" s="10" t="n"/>
      <c r="D312" s="9" t="n"/>
      <c r="E312" s="9" t="n"/>
      <c r="F312" s="9" t="n"/>
      <c r="G312" s="4" t="n"/>
      <c r="H312" s="5" t="n"/>
      <c r="I312" s="4" t="n"/>
      <c r="J312" s="4" t="n"/>
      <c r="K312" s="4" t="n"/>
      <c r="L312" s="11">
        <f>IF($G312="","",IF($F312="",1,MAX(1,COUNTIF($F$6:$F$505,$F312)-COUNTIFS($F$6:$F$505,$F312,$S$6:$S$505,"見送り"))))</f>
        <v/>
      </c>
      <c r="M312" s="12">
        <f>IF($G312="","",IF($K312="",'設定'!$C$6,$K312)/$L312)</f>
        <v/>
      </c>
      <c r="N312" s="12">
        <f>IF(OR($G312="",$I312=""),"",$I312-$G312-$M312-$J312)</f>
        <v/>
      </c>
      <c r="O312" s="13">
        <f>IF($N312="","",IF($G312&gt;0,$N312/$G312,0))</f>
        <v/>
      </c>
      <c r="P312" s="12">
        <f>IF($G312="","",$G312*$H312)</f>
        <v/>
      </c>
      <c r="Q312" s="12">
        <f>IF($N312="","",$N312-$I312*'設定'!$C$7)</f>
        <v/>
      </c>
      <c r="R312" s="14">
        <f>IF($N312="","",IF(AND($N312&gt;='設定'!$C$4,$O312&gt;='設定'!$C$5),IF($Q312&gt;=0,"仕入れOK","OK・下落に弱い"),"見送り"))</f>
        <v/>
      </c>
      <c r="S312" s="9" t="n"/>
      <c r="T312" s="8" t="n"/>
      <c r="U312" s="4" t="n"/>
      <c r="V312" s="8" t="n"/>
      <c r="W312" s="12">
        <f>IF(OR($G312="",$U312=""),"",$U312-$G312-$M312-$J312)</f>
        <v/>
      </c>
      <c r="X312" s="12">
        <f>IF(OR($I312="",$U312=""),"",$I312-$U312)</f>
        <v/>
      </c>
      <c r="Y312" s="11">
        <f>IF(OR($T312="",$V312=""),"",$V312-$T312)</f>
        <v/>
      </c>
      <c r="Z312" s="11">
        <f>IF(OR($S312="未発送",$S312="発送済",$S312="査定済",$S312="入金済"),1,0)</f>
        <v/>
      </c>
      <c r="AA312" s="11">
        <f>IF($U312="",0,1)</f>
        <v/>
      </c>
    </row>
    <row r="313">
      <c r="A313" s="8" t="n"/>
      <c r="B313" s="9" t="n"/>
      <c r="C313" s="10" t="n"/>
      <c r="D313" s="9" t="n"/>
      <c r="E313" s="9" t="n"/>
      <c r="F313" s="9" t="n"/>
      <c r="G313" s="4" t="n"/>
      <c r="H313" s="5" t="n"/>
      <c r="I313" s="4" t="n"/>
      <c r="J313" s="4" t="n"/>
      <c r="K313" s="4" t="n"/>
      <c r="L313" s="11">
        <f>IF($G313="","",IF($F313="",1,MAX(1,COUNTIF($F$6:$F$505,$F313)-COUNTIFS($F$6:$F$505,$F313,$S$6:$S$505,"見送り"))))</f>
        <v/>
      </c>
      <c r="M313" s="12">
        <f>IF($G313="","",IF($K313="",'設定'!$C$6,$K313)/$L313)</f>
        <v/>
      </c>
      <c r="N313" s="12">
        <f>IF(OR($G313="",$I313=""),"",$I313-$G313-$M313-$J313)</f>
        <v/>
      </c>
      <c r="O313" s="13">
        <f>IF($N313="","",IF($G313&gt;0,$N313/$G313,0))</f>
        <v/>
      </c>
      <c r="P313" s="12">
        <f>IF($G313="","",$G313*$H313)</f>
        <v/>
      </c>
      <c r="Q313" s="12">
        <f>IF($N313="","",$N313-$I313*'設定'!$C$7)</f>
        <v/>
      </c>
      <c r="R313" s="14">
        <f>IF($N313="","",IF(AND($N313&gt;='設定'!$C$4,$O313&gt;='設定'!$C$5),IF($Q313&gt;=0,"仕入れOK","OK・下落に弱い"),"見送り"))</f>
        <v/>
      </c>
      <c r="S313" s="9" t="n"/>
      <c r="T313" s="8" t="n"/>
      <c r="U313" s="4" t="n"/>
      <c r="V313" s="8" t="n"/>
      <c r="W313" s="12">
        <f>IF(OR($G313="",$U313=""),"",$U313-$G313-$M313-$J313)</f>
        <v/>
      </c>
      <c r="X313" s="12">
        <f>IF(OR($I313="",$U313=""),"",$I313-$U313)</f>
        <v/>
      </c>
      <c r="Y313" s="11">
        <f>IF(OR($T313="",$V313=""),"",$V313-$T313)</f>
        <v/>
      </c>
      <c r="Z313" s="11">
        <f>IF(OR($S313="未発送",$S313="発送済",$S313="査定済",$S313="入金済"),1,0)</f>
        <v/>
      </c>
      <c r="AA313" s="11">
        <f>IF($U313="",0,1)</f>
        <v/>
      </c>
    </row>
    <row r="314">
      <c r="A314" s="8" t="n"/>
      <c r="B314" s="9" t="n"/>
      <c r="C314" s="10" t="n"/>
      <c r="D314" s="9" t="n"/>
      <c r="E314" s="9" t="n"/>
      <c r="F314" s="9" t="n"/>
      <c r="G314" s="4" t="n"/>
      <c r="H314" s="5" t="n"/>
      <c r="I314" s="4" t="n"/>
      <c r="J314" s="4" t="n"/>
      <c r="K314" s="4" t="n"/>
      <c r="L314" s="11">
        <f>IF($G314="","",IF($F314="",1,MAX(1,COUNTIF($F$6:$F$505,$F314)-COUNTIFS($F$6:$F$505,$F314,$S$6:$S$505,"見送り"))))</f>
        <v/>
      </c>
      <c r="M314" s="12">
        <f>IF($G314="","",IF($K314="",'設定'!$C$6,$K314)/$L314)</f>
        <v/>
      </c>
      <c r="N314" s="12">
        <f>IF(OR($G314="",$I314=""),"",$I314-$G314-$M314-$J314)</f>
        <v/>
      </c>
      <c r="O314" s="13">
        <f>IF($N314="","",IF($G314&gt;0,$N314/$G314,0))</f>
        <v/>
      </c>
      <c r="P314" s="12">
        <f>IF($G314="","",$G314*$H314)</f>
        <v/>
      </c>
      <c r="Q314" s="12">
        <f>IF($N314="","",$N314-$I314*'設定'!$C$7)</f>
        <v/>
      </c>
      <c r="R314" s="14">
        <f>IF($N314="","",IF(AND($N314&gt;='設定'!$C$4,$O314&gt;='設定'!$C$5),IF($Q314&gt;=0,"仕入れOK","OK・下落に弱い"),"見送り"))</f>
        <v/>
      </c>
      <c r="S314" s="9" t="n"/>
      <c r="T314" s="8" t="n"/>
      <c r="U314" s="4" t="n"/>
      <c r="V314" s="8" t="n"/>
      <c r="W314" s="12">
        <f>IF(OR($G314="",$U314=""),"",$U314-$G314-$M314-$J314)</f>
        <v/>
      </c>
      <c r="X314" s="12">
        <f>IF(OR($I314="",$U314=""),"",$I314-$U314)</f>
        <v/>
      </c>
      <c r="Y314" s="11">
        <f>IF(OR($T314="",$V314=""),"",$V314-$T314)</f>
        <v/>
      </c>
      <c r="Z314" s="11">
        <f>IF(OR($S314="未発送",$S314="発送済",$S314="査定済",$S314="入金済"),1,0)</f>
        <v/>
      </c>
      <c r="AA314" s="11">
        <f>IF($U314="",0,1)</f>
        <v/>
      </c>
    </row>
    <row r="315">
      <c r="A315" s="8" t="n"/>
      <c r="B315" s="9" t="n"/>
      <c r="C315" s="10" t="n"/>
      <c r="D315" s="9" t="n"/>
      <c r="E315" s="9" t="n"/>
      <c r="F315" s="9" t="n"/>
      <c r="G315" s="4" t="n"/>
      <c r="H315" s="5" t="n"/>
      <c r="I315" s="4" t="n"/>
      <c r="J315" s="4" t="n"/>
      <c r="K315" s="4" t="n"/>
      <c r="L315" s="11">
        <f>IF($G315="","",IF($F315="",1,MAX(1,COUNTIF($F$6:$F$505,$F315)-COUNTIFS($F$6:$F$505,$F315,$S$6:$S$505,"見送り"))))</f>
        <v/>
      </c>
      <c r="M315" s="12">
        <f>IF($G315="","",IF($K315="",'設定'!$C$6,$K315)/$L315)</f>
        <v/>
      </c>
      <c r="N315" s="12">
        <f>IF(OR($G315="",$I315=""),"",$I315-$G315-$M315-$J315)</f>
        <v/>
      </c>
      <c r="O315" s="13">
        <f>IF($N315="","",IF($G315&gt;0,$N315/$G315,0))</f>
        <v/>
      </c>
      <c r="P315" s="12">
        <f>IF($G315="","",$G315*$H315)</f>
        <v/>
      </c>
      <c r="Q315" s="12">
        <f>IF($N315="","",$N315-$I315*'設定'!$C$7)</f>
        <v/>
      </c>
      <c r="R315" s="14">
        <f>IF($N315="","",IF(AND($N315&gt;='設定'!$C$4,$O315&gt;='設定'!$C$5),IF($Q315&gt;=0,"仕入れOK","OK・下落に弱い"),"見送り"))</f>
        <v/>
      </c>
      <c r="S315" s="9" t="n"/>
      <c r="T315" s="8" t="n"/>
      <c r="U315" s="4" t="n"/>
      <c r="V315" s="8" t="n"/>
      <c r="W315" s="12">
        <f>IF(OR($G315="",$U315=""),"",$U315-$G315-$M315-$J315)</f>
        <v/>
      </c>
      <c r="X315" s="12">
        <f>IF(OR($I315="",$U315=""),"",$I315-$U315)</f>
        <v/>
      </c>
      <c r="Y315" s="11">
        <f>IF(OR($T315="",$V315=""),"",$V315-$T315)</f>
        <v/>
      </c>
      <c r="Z315" s="11">
        <f>IF(OR($S315="未発送",$S315="発送済",$S315="査定済",$S315="入金済"),1,0)</f>
        <v/>
      </c>
      <c r="AA315" s="11">
        <f>IF($U315="",0,1)</f>
        <v/>
      </c>
    </row>
    <row r="316">
      <c r="A316" s="8" t="n"/>
      <c r="B316" s="9" t="n"/>
      <c r="C316" s="10" t="n"/>
      <c r="D316" s="9" t="n"/>
      <c r="E316" s="9" t="n"/>
      <c r="F316" s="9" t="n"/>
      <c r="G316" s="4" t="n"/>
      <c r="H316" s="5" t="n"/>
      <c r="I316" s="4" t="n"/>
      <c r="J316" s="4" t="n"/>
      <c r="K316" s="4" t="n"/>
      <c r="L316" s="11">
        <f>IF($G316="","",IF($F316="",1,MAX(1,COUNTIF($F$6:$F$505,$F316)-COUNTIFS($F$6:$F$505,$F316,$S$6:$S$505,"見送り"))))</f>
        <v/>
      </c>
      <c r="M316" s="12">
        <f>IF($G316="","",IF($K316="",'設定'!$C$6,$K316)/$L316)</f>
        <v/>
      </c>
      <c r="N316" s="12">
        <f>IF(OR($G316="",$I316=""),"",$I316-$G316-$M316-$J316)</f>
        <v/>
      </c>
      <c r="O316" s="13">
        <f>IF($N316="","",IF($G316&gt;0,$N316/$G316,0))</f>
        <v/>
      </c>
      <c r="P316" s="12">
        <f>IF($G316="","",$G316*$H316)</f>
        <v/>
      </c>
      <c r="Q316" s="12">
        <f>IF($N316="","",$N316-$I316*'設定'!$C$7)</f>
        <v/>
      </c>
      <c r="R316" s="14">
        <f>IF($N316="","",IF(AND($N316&gt;='設定'!$C$4,$O316&gt;='設定'!$C$5),IF($Q316&gt;=0,"仕入れOK","OK・下落に弱い"),"見送り"))</f>
        <v/>
      </c>
      <c r="S316" s="9" t="n"/>
      <c r="T316" s="8" t="n"/>
      <c r="U316" s="4" t="n"/>
      <c r="V316" s="8" t="n"/>
      <c r="W316" s="12">
        <f>IF(OR($G316="",$U316=""),"",$U316-$G316-$M316-$J316)</f>
        <v/>
      </c>
      <c r="X316" s="12">
        <f>IF(OR($I316="",$U316=""),"",$I316-$U316)</f>
        <v/>
      </c>
      <c r="Y316" s="11">
        <f>IF(OR($T316="",$V316=""),"",$V316-$T316)</f>
        <v/>
      </c>
      <c r="Z316" s="11">
        <f>IF(OR($S316="未発送",$S316="発送済",$S316="査定済",$S316="入金済"),1,0)</f>
        <v/>
      </c>
      <c r="AA316" s="11">
        <f>IF($U316="",0,1)</f>
        <v/>
      </c>
    </row>
    <row r="317">
      <c r="A317" s="8" t="n"/>
      <c r="B317" s="9" t="n"/>
      <c r="C317" s="10" t="n"/>
      <c r="D317" s="9" t="n"/>
      <c r="E317" s="9" t="n"/>
      <c r="F317" s="9" t="n"/>
      <c r="G317" s="4" t="n"/>
      <c r="H317" s="5" t="n"/>
      <c r="I317" s="4" t="n"/>
      <c r="J317" s="4" t="n"/>
      <c r="K317" s="4" t="n"/>
      <c r="L317" s="11">
        <f>IF($G317="","",IF($F317="",1,MAX(1,COUNTIF($F$6:$F$505,$F317)-COUNTIFS($F$6:$F$505,$F317,$S$6:$S$505,"見送り"))))</f>
        <v/>
      </c>
      <c r="M317" s="12">
        <f>IF($G317="","",IF($K317="",'設定'!$C$6,$K317)/$L317)</f>
        <v/>
      </c>
      <c r="N317" s="12">
        <f>IF(OR($G317="",$I317=""),"",$I317-$G317-$M317-$J317)</f>
        <v/>
      </c>
      <c r="O317" s="13">
        <f>IF($N317="","",IF($G317&gt;0,$N317/$G317,0))</f>
        <v/>
      </c>
      <c r="P317" s="12">
        <f>IF($G317="","",$G317*$H317)</f>
        <v/>
      </c>
      <c r="Q317" s="12">
        <f>IF($N317="","",$N317-$I317*'設定'!$C$7)</f>
        <v/>
      </c>
      <c r="R317" s="14">
        <f>IF($N317="","",IF(AND($N317&gt;='設定'!$C$4,$O317&gt;='設定'!$C$5),IF($Q317&gt;=0,"仕入れOK","OK・下落に弱い"),"見送り"))</f>
        <v/>
      </c>
      <c r="S317" s="9" t="n"/>
      <c r="T317" s="8" t="n"/>
      <c r="U317" s="4" t="n"/>
      <c r="V317" s="8" t="n"/>
      <c r="W317" s="12">
        <f>IF(OR($G317="",$U317=""),"",$U317-$G317-$M317-$J317)</f>
        <v/>
      </c>
      <c r="X317" s="12">
        <f>IF(OR($I317="",$U317=""),"",$I317-$U317)</f>
        <v/>
      </c>
      <c r="Y317" s="11">
        <f>IF(OR($T317="",$V317=""),"",$V317-$T317)</f>
        <v/>
      </c>
      <c r="Z317" s="11">
        <f>IF(OR($S317="未発送",$S317="発送済",$S317="査定済",$S317="入金済"),1,0)</f>
        <v/>
      </c>
      <c r="AA317" s="11">
        <f>IF($U317="",0,1)</f>
        <v/>
      </c>
    </row>
    <row r="318">
      <c r="A318" s="8" t="n"/>
      <c r="B318" s="9" t="n"/>
      <c r="C318" s="10" t="n"/>
      <c r="D318" s="9" t="n"/>
      <c r="E318" s="9" t="n"/>
      <c r="F318" s="9" t="n"/>
      <c r="G318" s="4" t="n"/>
      <c r="H318" s="5" t="n"/>
      <c r="I318" s="4" t="n"/>
      <c r="J318" s="4" t="n"/>
      <c r="K318" s="4" t="n"/>
      <c r="L318" s="11">
        <f>IF($G318="","",IF($F318="",1,MAX(1,COUNTIF($F$6:$F$505,$F318)-COUNTIFS($F$6:$F$505,$F318,$S$6:$S$505,"見送り"))))</f>
        <v/>
      </c>
      <c r="M318" s="12">
        <f>IF($G318="","",IF($K318="",'設定'!$C$6,$K318)/$L318)</f>
        <v/>
      </c>
      <c r="N318" s="12">
        <f>IF(OR($G318="",$I318=""),"",$I318-$G318-$M318-$J318)</f>
        <v/>
      </c>
      <c r="O318" s="13">
        <f>IF($N318="","",IF($G318&gt;0,$N318/$G318,0))</f>
        <v/>
      </c>
      <c r="P318" s="12">
        <f>IF($G318="","",$G318*$H318)</f>
        <v/>
      </c>
      <c r="Q318" s="12">
        <f>IF($N318="","",$N318-$I318*'設定'!$C$7)</f>
        <v/>
      </c>
      <c r="R318" s="14">
        <f>IF($N318="","",IF(AND($N318&gt;='設定'!$C$4,$O318&gt;='設定'!$C$5),IF($Q318&gt;=0,"仕入れOK","OK・下落に弱い"),"見送り"))</f>
        <v/>
      </c>
      <c r="S318" s="9" t="n"/>
      <c r="T318" s="8" t="n"/>
      <c r="U318" s="4" t="n"/>
      <c r="V318" s="8" t="n"/>
      <c r="W318" s="12">
        <f>IF(OR($G318="",$U318=""),"",$U318-$G318-$M318-$J318)</f>
        <v/>
      </c>
      <c r="X318" s="12">
        <f>IF(OR($I318="",$U318=""),"",$I318-$U318)</f>
        <v/>
      </c>
      <c r="Y318" s="11">
        <f>IF(OR($T318="",$V318=""),"",$V318-$T318)</f>
        <v/>
      </c>
      <c r="Z318" s="11">
        <f>IF(OR($S318="未発送",$S318="発送済",$S318="査定済",$S318="入金済"),1,0)</f>
        <v/>
      </c>
      <c r="AA318" s="11">
        <f>IF($U318="",0,1)</f>
        <v/>
      </c>
    </row>
    <row r="319">
      <c r="A319" s="8" t="n"/>
      <c r="B319" s="9" t="n"/>
      <c r="C319" s="10" t="n"/>
      <c r="D319" s="9" t="n"/>
      <c r="E319" s="9" t="n"/>
      <c r="F319" s="9" t="n"/>
      <c r="G319" s="4" t="n"/>
      <c r="H319" s="5" t="n"/>
      <c r="I319" s="4" t="n"/>
      <c r="J319" s="4" t="n"/>
      <c r="K319" s="4" t="n"/>
      <c r="L319" s="11">
        <f>IF($G319="","",IF($F319="",1,MAX(1,COUNTIF($F$6:$F$505,$F319)-COUNTIFS($F$6:$F$505,$F319,$S$6:$S$505,"見送り"))))</f>
        <v/>
      </c>
      <c r="M319" s="12">
        <f>IF($G319="","",IF($K319="",'設定'!$C$6,$K319)/$L319)</f>
        <v/>
      </c>
      <c r="N319" s="12">
        <f>IF(OR($G319="",$I319=""),"",$I319-$G319-$M319-$J319)</f>
        <v/>
      </c>
      <c r="O319" s="13">
        <f>IF($N319="","",IF($G319&gt;0,$N319/$G319,0))</f>
        <v/>
      </c>
      <c r="P319" s="12">
        <f>IF($G319="","",$G319*$H319)</f>
        <v/>
      </c>
      <c r="Q319" s="12">
        <f>IF($N319="","",$N319-$I319*'設定'!$C$7)</f>
        <v/>
      </c>
      <c r="R319" s="14">
        <f>IF($N319="","",IF(AND($N319&gt;='設定'!$C$4,$O319&gt;='設定'!$C$5),IF($Q319&gt;=0,"仕入れOK","OK・下落に弱い"),"見送り"))</f>
        <v/>
      </c>
      <c r="S319" s="9" t="n"/>
      <c r="T319" s="8" t="n"/>
      <c r="U319" s="4" t="n"/>
      <c r="V319" s="8" t="n"/>
      <c r="W319" s="12">
        <f>IF(OR($G319="",$U319=""),"",$U319-$G319-$M319-$J319)</f>
        <v/>
      </c>
      <c r="X319" s="12">
        <f>IF(OR($I319="",$U319=""),"",$I319-$U319)</f>
        <v/>
      </c>
      <c r="Y319" s="11">
        <f>IF(OR($T319="",$V319=""),"",$V319-$T319)</f>
        <v/>
      </c>
      <c r="Z319" s="11">
        <f>IF(OR($S319="未発送",$S319="発送済",$S319="査定済",$S319="入金済"),1,0)</f>
        <v/>
      </c>
      <c r="AA319" s="11">
        <f>IF($U319="",0,1)</f>
        <v/>
      </c>
    </row>
    <row r="320">
      <c r="A320" s="8" t="n"/>
      <c r="B320" s="9" t="n"/>
      <c r="C320" s="10" t="n"/>
      <c r="D320" s="9" t="n"/>
      <c r="E320" s="9" t="n"/>
      <c r="F320" s="9" t="n"/>
      <c r="G320" s="4" t="n"/>
      <c r="H320" s="5" t="n"/>
      <c r="I320" s="4" t="n"/>
      <c r="J320" s="4" t="n"/>
      <c r="K320" s="4" t="n"/>
      <c r="L320" s="11">
        <f>IF($G320="","",IF($F320="",1,MAX(1,COUNTIF($F$6:$F$505,$F320)-COUNTIFS($F$6:$F$505,$F320,$S$6:$S$505,"見送り"))))</f>
        <v/>
      </c>
      <c r="M320" s="12">
        <f>IF($G320="","",IF($K320="",'設定'!$C$6,$K320)/$L320)</f>
        <v/>
      </c>
      <c r="N320" s="12">
        <f>IF(OR($G320="",$I320=""),"",$I320-$G320-$M320-$J320)</f>
        <v/>
      </c>
      <c r="O320" s="13">
        <f>IF($N320="","",IF($G320&gt;0,$N320/$G320,0))</f>
        <v/>
      </c>
      <c r="P320" s="12">
        <f>IF($G320="","",$G320*$H320)</f>
        <v/>
      </c>
      <c r="Q320" s="12">
        <f>IF($N320="","",$N320-$I320*'設定'!$C$7)</f>
        <v/>
      </c>
      <c r="R320" s="14">
        <f>IF($N320="","",IF(AND($N320&gt;='設定'!$C$4,$O320&gt;='設定'!$C$5),IF($Q320&gt;=0,"仕入れOK","OK・下落に弱い"),"見送り"))</f>
        <v/>
      </c>
      <c r="S320" s="9" t="n"/>
      <c r="T320" s="8" t="n"/>
      <c r="U320" s="4" t="n"/>
      <c r="V320" s="8" t="n"/>
      <c r="W320" s="12">
        <f>IF(OR($G320="",$U320=""),"",$U320-$G320-$M320-$J320)</f>
        <v/>
      </c>
      <c r="X320" s="12">
        <f>IF(OR($I320="",$U320=""),"",$I320-$U320)</f>
        <v/>
      </c>
      <c r="Y320" s="11">
        <f>IF(OR($T320="",$V320=""),"",$V320-$T320)</f>
        <v/>
      </c>
      <c r="Z320" s="11">
        <f>IF(OR($S320="未発送",$S320="発送済",$S320="査定済",$S320="入金済"),1,0)</f>
        <v/>
      </c>
      <c r="AA320" s="11">
        <f>IF($U320="",0,1)</f>
        <v/>
      </c>
    </row>
    <row r="321">
      <c r="A321" s="8" t="n"/>
      <c r="B321" s="9" t="n"/>
      <c r="C321" s="10" t="n"/>
      <c r="D321" s="9" t="n"/>
      <c r="E321" s="9" t="n"/>
      <c r="F321" s="9" t="n"/>
      <c r="G321" s="4" t="n"/>
      <c r="H321" s="5" t="n"/>
      <c r="I321" s="4" t="n"/>
      <c r="J321" s="4" t="n"/>
      <c r="K321" s="4" t="n"/>
      <c r="L321" s="11">
        <f>IF($G321="","",IF($F321="",1,MAX(1,COUNTIF($F$6:$F$505,$F321)-COUNTIFS($F$6:$F$505,$F321,$S$6:$S$505,"見送り"))))</f>
        <v/>
      </c>
      <c r="M321" s="12">
        <f>IF($G321="","",IF($K321="",'設定'!$C$6,$K321)/$L321)</f>
        <v/>
      </c>
      <c r="N321" s="12">
        <f>IF(OR($G321="",$I321=""),"",$I321-$G321-$M321-$J321)</f>
        <v/>
      </c>
      <c r="O321" s="13">
        <f>IF($N321="","",IF($G321&gt;0,$N321/$G321,0))</f>
        <v/>
      </c>
      <c r="P321" s="12">
        <f>IF($G321="","",$G321*$H321)</f>
        <v/>
      </c>
      <c r="Q321" s="12">
        <f>IF($N321="","",$N321-$I321*'設定'!$C$7)</f>
        <v/>
      </c>
      <c r="R321" s="14">
        <f>IF($N321="","",IF(AND($N321&gt;='設定'!$C$4,$O321&gt;='設定'!$C$5),IF($Q321&gt;=0,"仕入れOK","OK・下落に弱い"),"見送り"))</f>
        <v/>
      </c>
      <c r="S321" s="9" t="n"/>
      <c r="T321" s="8" t="n"/>
      <c r="U321" s="4" t="n"/>
      <c r="V321" s="8" t="n"/>
      <c r="W321" s="12">
        <f>IF(OR($G321="",$U321=""),"",$U321-$G321-$M321-$J321)</f>
        <v/>
      </c>
      <c r="X321" s="12">
        <f>IF(OR($I321="",$U321=""),"",$I321-$U321)</f>
        <v/>
      </c>
      <c r="Y321" s="11">
        <f>IF(OR($T321="",$V321=""),"",$V321-$T321)</f>
        <v/>
      </c>
      <c r="Z321" s="11">
        <f>IF(OR($S321="未発送",$S321="発送済",$S321="査定済",$S321="入金済"),1,0)</f>
        <v/>
      </c>
      <c r="AA321" s="11">
        <f>IF($U321="",0,1)</f>
        <v/>
      </c>
    </row>
    <row r="322">
      <c r="A322" s="8" t="n"/>
      <c r="B322" s="9" t="n"/>
      <c r="C322" s="10" t="n"/>
      <c r="D322" s="9" t="n"/>
      <c r="E322" s="9" t="n"/>
      <c r="F322" s="9" t="n"/>
      <c r="G322" s="4" t="n"/>
      <c r="H322" s="5" t="n"/>
      <c r="I322" s="4" t="n"/>
      <c r="J322" s="4" t="n"/>
      <c r="K322" s="4" t="n"/>
      <c r="L322" s="11">
        <f>IF($G322="","",IF($F322="",1,MAX(1,COUNTIF($F$6:$F$505,$F322)-COUNTIFS($F$6:$F$505,$F322,$S$6:$S$505,"見送り"))))</f>
        <v/>
      </c>
      <c r="M322" s="12">
        <f>IF($G322="","",IF($K322="",'設定'!$C$6,$K322)/$L322)</f>
        <v/>
      </c>
      <c r="N322" s="12">
        <f>IF(OR($G322="",$I322=""),"",$I322-$G322-$M322-$J322)</f>
        <v/>
      </c>
      <c r="O322" s="13">
        <f>IF($N322="","",IF($G322&gt;0,$N322/$G322,0))</f>
        <v/>
      </c>
      <c r="P322" s="12">
        <f>IF($G322="","",$G322*$H322)</f>
        <v/>
      </c>
      <c r="Q322" s="12">
        <f>IF($N322="","",$N322-$I322*'設定'!$C$7)</f>
        <v/>
      </c>
      <c r="R322" s="14">
        <f>IF($N322="","",IF(AND($N322&gt;='設定'!$C$4,$O322&gt;='設定'!$C$5),IF($Q322&gt;=0,"仕入れOK","OK・下落に弱い"),"見送り"))</f>
        <v/>
      </c>
      <c r="S322" s="9" t="n"/>
      <c r="T322" s="8" t="n"/>
      <c r="U322" s="4" t="n"/>
      <c r="V322" s="8" t="n"/>
      <c r="W322" s="12">
        <f>IF(OR($G322="",$U322=""),"",$U322-$G322-$M322-$J322)</f>
        <v/>
      </c>
      <c r="X322" s="12">
        <f>IF(OR($I322="",$U322=""),"",$I322-$U322)</f>
        <v/>
      </c>
      <c r="Y322" s="11">
        <f>IF(OR($T322="",$V322=""),"",$V322-$T322)</f>
        <v/>
      </c>
      <c r="Z322" s="11">
        <f>IF(OR($S322="未発送",$S322="発送済",$S322="査定済",$S322="入金済"),1,0)</f>
        <v/>
      </c>
      <c r="AA322" s="11">
        <f>IF($U322="",0,1)</f>
        <v/>
      </c>
    </row>
    <row r="323">
      <c r="A323" s="8" t="n"/>
      <c r="B323" s="9" t="n"/>
      <c r="C323" s="10" t="n"/>
      <c r="D323" s="9" t="n"/>
      <c r="E323" s="9" t="n"/>
      <c r="F323" s="9" t="n"/>
      <c r="G323" s="4" t="n"/>
      <c r="H323" s="5" t="n"/>
      <c r="I323" s="4" t="n"/>
      <c r="J323" s="4" t="n"/>
      <c r="K323" s="4" t="n"/>
      <c r="L323" s="11">
        <f>IF($G323="","",IF($F323="",1,MAX(1,COUNTIF($F$6:$F$505,$F323)-COUNTIFS($F$6:$F$505,$F323,$S$6:$S$505,"見送り"))))</f>
        <v/>
      </c>
      <c r="M323" s="12">
        <f>IF($G323="","",IF($K323="",'設定'!$C$6,$K323)/$L323)</f>
        <v/>
      </c>
      <c r="N323" s="12">
        <f>IF(OR($G323="",$I323=""),"",$I323-$G323-$M323-$J323)</f>
        <v/>
      </c>
      <c r="O323" s="13">
        <f>IF($N323="","",IF($G323&gt;0,$N323/$G323,0))</f>
        <v/>
      </c>
      <c r="P323" s="12">
        <f>IF($G323="","",$G323*$H323)</f>
        <v/>
      </c>
      <c r="Q323" s="12">
        <f>IF($N323="","",$N323-$I323*'設定'!$C$7)</f>
        <v/>
      </c>
      <c r="R323" s="14">
        <f>IF($N323="","",IF(AND($N323&gt;='設定'!$C$4,$O323&gt;='設定'!$C$5),IF($Q323&gt;=0,"仕入れOK","OK・下落に弱い"),"見送り"))</f>
        <v/>
      </c>
      <c r="S323" s="9" t="n"/>
      <c r="T323" s="8" t="n"/>
      <c r="U323" s="4" t="n"/>
      <c r="V323" s="8" t="n"/>
      <c r="W323" s="12">
        <f>IF(OR($G323="",$U323=""),"",$U323-$G323-$M323-$J323)</f>
        <v/>
      </c>
      <c r="X323" s="12">
        <f>IF(OR($I323="",$U323=""),"",$I323-$U323)</f>
        <v/>
      </c>
      <c r="Y323" s="11">
        <f>IF(OR($T323="",$V323=""),"",$V323-$T323)</f>
        <v/>
      </c>
      <c r="Z323" s="11">
        <f>IF(OR($S323="未発送",$S323="発送済",$S323="査定済",$S323="入金済"),1,0)</f>
        <v/>
      </c>
      <c r="AA323" s="11">
        <f>IF($U323="",0,1)</f>
        <v/>
      </c>
    </row>
    <row r="324">
      <c r="A324" s="8" t="n"/>
      <c r="B324" s="9" t="n"/>
      <c r="C324" s="10" t="n"/>
      <c r="D324" s="9" t="n"/>
      <c r="E324" s="9" t="n"/>
      <c r="F324" s="9" t="n"/>
      <c r="G324" s="4" t="n"/>
      <c r="H324" s="5" t="n"/>
      <c r="I324" s="4" t="n"/>
      <c r="J324" s="4" t="n"/>
      <c r="K324" s="4" t="n"/>
      <c r="L324" s="11">
        <f>IF($G324="","",IF($F324="",1,MAX(1,COUNTIF($F$6:$F$505,$F324)-COUNTIFS($F$6:$F$505,$F324,$S$6:$S$505,"見送り"))))</f>
        <v/>
      </c>
      <c r="M324" s="12">
        <f>IF($G324="","",IF($K324="",'設定'!$C$6,$K324)/$L324)</f>
        <v/>
      </c>
      <c r="N324" s="12">
        <f>IF(OR($G324="",$I324=""),"",$I324-$G324-$M324-$J324)</f>
        <v/>
      </c>
      <c r="O324" s="13">
        <f>IF($N324="","",IF($G324&gt;0,$N324/$G324,0))</f>
        <v/>
      </c>
      <c r="P324" s="12">
        <f>IF($G324="","",$G324*$H324)</f>
        <v/>
      </c>
      <c r="Q324" s="12">
        <f>IF($N324="","",$N324-$I324*'設定'!$C$7)</f>
        <v/>
      </c>
      <c r="R324" s="14">
        <f>IF($N324="","",IF(AND($N324&gt;='設定'!$C$4,$O324&gt;='設定'!$C$5),IF($Q324&gt;=0,"仕入れOK","OK・下落に弱い"),"見送り"))</f>
        <v/>
      </c>
      <c r="S324" s="9" t="n"/>
      <c r="T324" s="8" t="n"/>
      <c r="U324" s="4" t="n"/>
      <c r="V324" s="8" t="n"/>
      <c r="W324" s="12">
        <f>IF(OR($G324="",$U324=""),"",$U324-$G324-$M324-$J324)</f>
        <v/>
      </c>
      <c r="X324" s="12">
        <f>IF(OR($I324="",$U324=""),"",$I324-$U324)</f>
        <v/>
      </c>
      <c r="Y324" s="11">
        <f>IF(OR($T324="",$V324=""),"",$V324-$T324)</f>
        <v/>
      </c>
      <c r="Z324" s="11">
        <f>IF(OR($S324="未発送",$S324="発送済",$S324="査定済",$S324="入金済"),1,0)</f>
        <v/>
      </c>
      <c r="AA324" s="11">
        <f>IF($U324="",0,1)</f>
        <v/>
      </c>
    </row>
    <row r="325">
      <c r="A325" s="8" t="n"/>
      <c r="B325" s="9" t="n"/>
      <c r="C325" s="10" t="n"/>
      <c r="D325" s="9" t="n"/>
      <c r="E325" s="9" t="n"/>
      <c r="F325" s="9" t="n"/>
      <c r="G325" s="4" t="n"/>
      <c r="H325" s="5" t="n"/>
      <c r="I325" s="4" t="n"/>
      <c r="J325" s="4" t="n"/>
      <c r="K325" s="4" t="n"/>
      <c r="L325" s="11">
        <f>IF($G325="","",IF($F325="",1,MAX(1,COUNTIF($F$6:$F$505,$F325)-COUNTIFS($F$6:$F$505,$F325,$S$6:$S$505,"見送り"))))</f>
        <v/>
      </c>
      <c r="M325" s="12">
        <f>IF($G325="","",IF($K325="",'設定'!$C$6,$K325)/$L325)</f>
        <v/>
      </c>
      <c r="N325" s="12">
        <f>IF(OR($G325="",$I325=""),"",$I325-$G325-$M325-$J325)</f>
        <v/>
      </c>
      <c r="O325" s="13">
        <f>IF($N325="","",IF($G325&gt;0,$N325/$G325,0))</f>
        <v/>
      </c>
      <c r="P325" s="12">
        <f>IF($G325="","",$G325*$H325)</f>
        <v/>
      </c>
      <c r="Q325" s="12">
        <f>IF($N325="","",$N325-$I325*'設定'!$C$7)</f>
        <v/>
      </c>
      <c r="R325" s="14">
        <f>IF($N325="","",IF(AND($N325&gt;='設定'!$C$4,$O325&gt;='設定'!$C$5),IF($Q325&gt;=0,"仕入れOK","OK・下落に弱い"),"見送り"))</f>
        <v/>
      </c>
      <c r="S325" s="9" t="n"/>
      <c r="T325" s="8" t="n"/>
      <c r="U325" s="4" t="n"/>
      <c r="V325" s="8" t="n"/>
      <c r="W325" s="12">
        <f>IF(OR($G325="",$U325=""),"",$U325-$G325-$M325-$J325)</f>
        <v/>
      </c>
      <c r="X325" s="12">
        <f>IF(OR($I325="",$U325=""),"",$I325-$U325)</f>
        <v/>
      </c>
      <c r="Y325" s="11">
        <f>IF(OR($T325="",$V325=""),"",$V325-$T325)</f>
        <v/>
      </c>
      <c r="Z325" s="11">
        <f>IF(OR($S325="未発送",$S325="発送済",$S325="査定済",$S325="入金済"),1,0)</f>
        <v/>
      </c>
      <c r="AA325" s="11">
        <f>IF($U325="",0,1)</f>
        <v/>
      </c>
    </row>
    <row r="326">
      <c r="A326" s="8" t="n"/>
      <c r="B326" s="9" t="n"/>
      <c r="C326" s="10" t="n"/>
      <c r="D326" s="9" t="n"/>
      <c r="E326" s="9" t="n"/>
      <c r="F326" s="9" t="n"/>
      <c r="G326" s="4" t="n"/>
      <c r="H326" s="5" t="n"/>
      <c r="I326" s="4" t="n"/>
      <c r="J326" s="4" t="n"/>
      <c r="K326" s="4" t="n"/>
      <c r="L326" s="11">
        <f>IF($G326="","",IF($F326="",1,MAX(1,COUNTIF($F$6:$F$505,$F326)-COUNTIFS($F$6:$F$505,$F326,$S$6:$S$505,"見送り"))))</f>
        <v/>
      </c>
      <c r="M326" s="12">
        <f>IF($G326="","",IF($K326="",'設定'!$C$6,$K326)/$L326)</f>
        <v/>
      </c>
      <c r="N326" s="12">
        <f>IF(OR($G326="",$I326=""),"",$I326-$G326-$M326-$J326)</f>
        <v/>
      </c>
      <c r="O326" s="13">
        <f>IF($N326="","",IF($G326&gt;0,$N326/$G326,0))</f>
        <v/>
      </c>
      <c r="P326" s="12">
        <f>IF($G326="","",$G326*$H326)</f>
        <v/>
      </c>
      <c r="Q326" s="12">
        <f>IF($N326="","",$N326-$I326*'設定'!$C$7)</f>
        <v/>
      </c>
      <c r="R326" s="14">
        <f>IF($N326="","",IF(AND($N326&gt;='設定'!$C$4,$O326&gt;='設定'!$C$5),IF($Q326&gt;=0,"仕入れOK","OK・下落に弱い"),"見送り"))</f>
        <v/>
      </c>
      <c r="S326" s="9" t="n"/>
      <c r="T326" s="8" t="n"/>
      <c r="U326" s="4" t="n"/>
      <c r="V326" s="8" t="n"/>
      <c r="W326" s="12">
        <f>IF(OR($G326="",$U326=""),"",$U326-$G326-$M326-$J326)</f>
        <v/>
      </c>
      <c r="X326" s="12">
        <f>IF(OR($I326="",$U326=""),"",$I326-$U326)</f>
        <v/>
      </c>
      <c r="Y326" s="11">
        <f>IF(OR($T326="",$V326=""),"",$V326-$T326)</f>
        <v/>
      </c>
      <c r="Z326" s="11">
        <f>IF(OR($S326="未発送",$S326="発送済",$S326="査定済",$S326="入金済"),1,0)</f>
        <v/>
      </c>
      <c r="AA326" s="11">
        <f>IF($U326="",0,1)</f>
        <v/>
      </c>
    </row>
    <row r="327">
      <c r="A327" s="8" t="n"/>
      <c r="B327" s="9" t="n"/>
      <c r="C327" s="10" t="n"/>
      <c r="D327" s="9" t="n"/>
      <c r="E327" s="9" t="n"/>
      <c r="F327" s="9" t="n"/>
      <c r="G327" s="4" t="n"/>
      <c r="H327" s="5" t="n"/>
      <c r="I327" s="4" t="n"/>
      <c r="J327" s="4" t="n"/>
      <c r="K327" s="4" t="n"/>
      <c r="L327" s="11">
        <f>IF($G327="","",IF($F327="",1,MAX(1,COUNTIF($F$6:$F$505,$F327)-COUNTIFS($F$6:$F$505,$F327,$S$6:$S$505,"見送り"))))</f>
        <v/>
      </c>
      <c r="M327" s="12">
        <f>IF($G327="","",IF($K327="",'設定'!$C$6,$K327)/$L327)</f>
        <v/>
      </c>
      <c r="N327" s="12">
        <f>IF(OR($G327="",$I327=""),"",$I327-$G327-$M327-$J327)</f>
        <v/>
      </c>
      <c r="O327" s="13">
        <f>IF($N327="","",IF($G327&gt;0,$N327/$G327,0))</f>
        <v/>
      </c>
      <c r="P327" s="12">
        <f>IF($G327="","",$G327*$H327)</f>
        <v/>
      </c>
      <c r="Q327" s="12">
        <f>IF($N327="","",$N327-$I327*'設定'!$C$7)</f>
        <v/>
      </c>
      <c r="R327" s="14">
        <f>IF($N327="","",IF(AND($N327&gt;='設定'!$C$4,$O327&gt;='設定'!$C$5),IF($Q327&gt;=0,"仕入れOK","OK・下落に弱い"),"見送り"))</f>
        <v/>
      </c>
      <c r="S327" s="9" t="n"/>
      <c r="T327" s="8" t="n"/>
      <c r="U327" s="4" t="n"/>
      <c r="V327" s="8" t="n"/>
      <c r="W327" s="12">
        <f>IF(OR($G327="",$U327=""),"",$U327-$G327-$M327-$J327)</f>
        <v/>
      </c>
      <c r="X327" s="12">
        <f>IF(OR($I327="",$U327=""),"",$I327-$U327)</f>
        <v/>
      </c>
      <c r="Y327" s="11">
        <f>IF(OR($T327="",$V327=""),"",$V327-$T327)</f>
        <v/>
      </c>
      <c r="Z327" s="11">
        <f>IF(OR($S327="未発送",$S327="発送済",$S327="査定済",$S327="入金済"),1,0)</f>
        <v/>
      </c>
      <c r="AA327" s="11">
        <f>IF($U327="",0,1)</f>
        <v/>
      </c>
    </row>
    <row r="328">
      <c r="A328" s="8" t="n"/>
      <c r="B328" s="9" t="n"/>
      <c r="C328" s="10" t="n"/>
      <c r="D328" s="9" t="n"/>
      <c r="E328" s="9" t="n"/>
      <c r="F328" s="9" t="n"/>
      <c r="G328" s="4" t="n"/>
      <c r="H328" s="5" t="n"/>
      <c r="I328" s="4" t="n"/>
      <c r="J328" s="4" t="n"/>
      <c r="K328" s="4" t="n"/>
      <c r="L328" s="11">
        <f>IF($G328="","",IF($F328="",1,MAX(1,COUNTIF($F$6:$F$505,$F328)-COUNTIFS($F$6:$F$505,$F328,$S$6:$S$505,"見送り"))))</f>
        <v/>
      </c>
      <c r="M328" s="12">
        <f>IF($G328="","",IF($K328="",'設定'!$C$6,$K328)/$L328)</f>
        <v/>
      </c>
      <c r="N328" s="12">
        <f>IF(OR($G328="",$I328=""),"",$I328-$G328-$M328-$J328)</f>
        <v/>
      </c>
      <c r="O328" s="13">
        <f>IF($N328="","",IF($G328&gt;0,$N328/$G328,0))</f>
        <v/>
      </c>
      <c r="P328" s="12">
        <f>IF($G328="","",$G328*$H328)</f>
        <v/>
      </c>
      <c r="Q328" s="12">
        <f>IF($N328="","",$N328-$I328*'設定'!$C$7)</f>
        <v/>
      </c>
      <c r="R328" s="14">
        <f>IF($N328="","",IF(AND($N328&gt;='設定'!$C$4,$O328&gt;='設定'!$C$5),IF($Q328&gt;=0,"仕入れOK","OK・下落に弱い"),"見送り"))</f>
        <v/>
      </c>
      <c r="S328" s="9" t="n"/>
      <c r="T328" s="8" t="n"/>
      <c r="U328" s="4" t="n"/>
      <c r="V328" s="8" t="n"/>
      <c r="W328" s="12">
        <f>IF(OR($G328="",$U328=""),"",$U328-$G328-$M328-$J328)</f>
        <v/>
      </c>
      <c r="X328" s="12">
        <f>IF(OR($I328="",$U328=""),"",$I328-$U328)</f>
        <v/>
      </c>
      <c r="Y328" s="11">
        <f>IF(OR($T328="",$V328=""),"",$V328-$T328)</f>
        <v/>
      </c>
      <c r="Z328" s="11">
        <f>IF(OR($S328="未発送",$S328="発送済",$S328="査定済",$S328="入金済"),1,0)</f>
        <v/>
      </c>
      <c r="AA328" s="11">
        <f>IF($U328="",0,1)</f>
        <v/>
      </c>
    </row>
    <row r="329">
      <c r="A329" s="8" t="n"/>
      <c r="B329" s="9" t="n"/>
      <c r="C329" s="10" t="n"/>
      <c r="D329" s="9" t="n"/>
      <c r="E329" s="9" t="n"/>
      <c r="F329" s="9" t="n"/>
      <c r="G329" s="4" t="n"/>
      <c r="H329" s="5" t="n"/>
      <c r="I329" s="4" t="n"/>
      <c r="J329" s="4" t="n"/>
      <c r="K329" s="4" t="n"/>
      <c r="L329" s="11">
        <f>IF($G329="","",IF($F329="",1,MAX(1,COUNTIF($F$6:$F$505,$F329)-COUNTIFS($F$6:$F$505,$F329,$S$6:$S$505,"見送り"))))</f>
        <v/>
      </c>
      <c r="M329" s="12">
        <f>IF($G329="","",IF($K329="",'設定'!$C$6,$K329)/$L329)</f>
        <v/>
      </c>
      <c r="N329" s="12">
        <f>IF(OR($G329="",$I329=""),"",$I329-$G329-$M329-$J329)</f>
        <v/>
      </c>
      <c r="O329" s="13">
        <f>IF($N329="","",IF($G329&gt;0,$N329/$G329,0))</f>
        <v/>
      </c>
      <c r="P329" s="12">
        <f>IF($G329="","",$G329*$H329)</f>
        <v/>
      </c>
      <c r="Q329" s="12">
        <f>IF($N329="","",$N329-$I329*'設定'!$C$7)</f>
        <v/>
      </c>
      <c r="R329" s="14">
        <f>IF($N329="","",IF(AND($N329&gt;='設定'!$C$4,$O329&gt;='設定'!$C$5),IF($Q329&gt;=0,"仕入れOK","OK・下落に弱い"),"見送り"))</f>
        <v/>
      </c>
      <c r="S329" s="9" t="n"/>
      <c r="T329" s="8" t="n"/>
      <c r="U329" s="4" t="n"/>
      <c r="V329" s="8" t="n"/>
      <c r="W329" s="12">
        <f>IF(OR($G329="",$U329=""),"",$U329-$G329-$M329-$J329)</f>
        <v/>
      </c>
      <c r="X329" s="12">
        <f>IF(OR($I329="",$U329=""),"",$I329-$U329)</f>
        <v/>
      </c>
      <c r="Y329" s="11">
        <f>IF(OR($T329="",$V329=""),"",$V329-$T329)</f>
        <v/>
      </c>
      <c r="Z329" s="11">
        <f>IF(OR($S329="未発送",$S329="発送済",$S329="査定済",$S329="入金済"),1,0)</f>
        <v/>
      </c>
      <c r="AA329" s="11">
        <f>IF($U329="",0,1)</f>
        <v/>
      </c>
    </row>
    <row r="330">
      <c r="A330" s="8" t="n"/>
      <c r="B330" s="9" t="n"/>
      <c r="C330" s="10" t="n"/>
      <c r="D330" s="9" t="n"/>
      <c r="E330" s="9" t="n"/>
      <c r="F330" s="9" t="n"/>
      <c r="G330" s="4" t="n"/>
      <c r="H330" s="5" t="n"/>
      <c r="I330" s="4" t="n"/>
      <c r="J330" s="4" t="n"/>
      <c r="K330" s="4" t="n"/>
      <c r="L330" s="11">
        <f>IF($G330="","",IF($F330="",1,MAX(1,COUNTIF($F$6:$F$505,$F330)-COUNTIFS($F$6:$F$505,$F330,$S$6:$S$505,"見送り"))))</f>
        <v/>
      </c>
      <c r="M330" s="12">
        <f>IF($G330="","",IF($K330="",'設定'!$C$6,$K330)/$L330)</f>
        <v/>
      </c>
      <c r="N330" s="12">
        <f>IF(OR($G330="",$I330=""),"",$I330-$G330-$M330-$J330)</f>
        <v/>
      </c>
      <c r="O330" s="13">
        <f>IF($N330="","",IF($G330&gt;0,$N330/$G330,0))</f>
        <v/>
      </c>
      <c r="P330" s="12">
        <f>IF($G330="","",$G330*$H330)</f>
        <v/>
      </c>
      <c r="Q330" s="12">
        <f>IF($N330="","",$N330-$I330*'設定'!$C$7)</f>
        <v/>
      </c>
      <c r="R330" s="14">
        <f>IF($N330="","",IF(AND($N330&gt;='設定'!$C$4,$O330&gt;='設定'!$C$5),IF($Q330&gt;=0,"仕入れOK","OK・下落に弱い"),"見送り"))</f>
        <v/>
      </c>
      <c r="S330" s="9" t="n"/>
      <c r="T330" s="8" t="n"/>
      <c r="U330" s="4" t="n"/>
      <c r="V330" s="8" t="n"/>
      <c r="W330" s="12">
        <f>IF(OR($G330="",$U330=""),"",$U330-$G330-$M330-$J330)</f>
        <v/>
      </c>
      <c r="X330" s="12">
        <f>IF(OR($I330="",$U330=""),"",$I330-$U330)</f>
        <v/>
      </c>
      <c r="Y330" s="11">
        <f>IF(OR($T330="",$V330=""),"",$V330-$T330)</f>
        <v/>
      </c>
      <c r="Z330" s="11">
        <f>IF(OR($S330="未発送",$S330="発送済",$S330="査定済",$S330="入金済"),1,0)</f>
        <v/>
      </c>
      <c r="AA330" s="11">
        <f>IF($U330="",0,1)</f>
        <v/>
      </c>
    </row>
    <row r="331">
      <c r="A331" s="8" t="n"/>
      <c r="B331" s="9" t="n"/>
      <c r="C331" s="10" t="n"/>
      <c r="D331" s="9" t="n"/>
      <c r="E331" s="9" t="n"/>
      <c r="F331" s="9" t="n"/>
      <c r="G331" s="4" t="n"/>
      <c r="H331" s="5" t="n"/>
      <c r="I331" s="4" t="n"/>
      <c r="J331" s="4" t="n"/>
      <c r="K331" s="4" t="n"/>
      <c r="L331" s="11">
        <f>IF($G331="","",IF($F331="",1,MAX(1,COUNTIF($F$6:$F$505,$F331)-COUNTIFS($F$6:$F$505,$F331,$S$6:$S$505,"見送り"))))</f>
        <v/>
      </c>
      <c r="M331" s="12">
        <f>IF($G331="","",IF($K331="",'設定'!$C$6,$K331)/$L331)</f>
        <v/>
      </c>
      <c r="N331" s="12">
        <f>IF(OR($G331="",$I331=""),"",$I331-$G331-$M331-$J331)</f>
        <v/>
      </c>
      <c r="O331" s="13">
        <f>IF($N331="","",IF($G331&gt;0,$N331/$G331,0))</f>
        <v/>
      </c>
      <c r="P331" s="12">
        <f>IF($G331="","",$G331*$H331)</f>
        <v/>
      </c>
      <c r="Q331" s="12">
        <f>IF($N331="","",$N331-$I331*'設定'!$C$7)</f>
        <v/>
      </c>
      <c r="R331" s="14">
        <f>IF($N331="","",IF(AND($N331&gt;='設定'!$C$4,$O331&gt;='設定'!$C$5),IF($Q331&gt;=0,"仕入れOK","OK・下落に弱い"),"見送り"))</f>
        <v/>
      </c>
      <c r="S331" s="9" t="n"/>
      <c r="T331" s="8" t="n"/>
      <c r="U331" s="4" t="n"/>
      <c r="V331" s="8" t="n"/>
      <c r="W331" s="12">
        <f>IF(OR($G331="",$U331=""),"",$U331-$G331-$M331-$J331)</f>
        <v/>
      </c>
      <c r="X331" s="12">
        <f>IF(OR($I331="",$U331=""),"",$I331-$U331)</f>
        <v/>
      </c>
      <c r="Y331" s="11">
        <f>IF(OR($T331="",$V331=""),"",$V331-$T331)</f>
        <v/>
      </c>
      <c r="Z331" s="11">
        <f>IF(OR($S331="未発送",$S331="発送済",$S331="査定済",$S331="入金済"),1,0)</f>
        <v/>
      </c>
      <c r="AA331" s="11">
        <f>IF($U331="",0,1)</f>
        <v/>
      </c>
    </row>
    <row r="332">
      <c r="A332" s="8" t="n"/>
      <c r="B332" s="9" t="n"/>
      <c r="C332" s="10" t="n"/>
      <c r="D332" s="9" t="n"/>
      <c r="E332" s="9" t="n"/>
      <c r="F332" s="9" t="n"/>
      <c r="G332" s="4" t="n"/>
      <c r="H332" s="5" t="n"/>
      <c r="I332" s="4" t="n"/>
      <c r="J332" s="4" t="n"/>
      <c r="K332" s="4" t="n"/>
      <c r="L332" s="11">
        <f>IF($G332="","",IF($F332="",1,MAX(1,COUNTIF($F$6:$F$505,$F332)-COUNTIFS($F$6:$F$505,$F332,$S$6:$S$505,"見送り"))))</f>
        <v/>
      </c>
      <c r="M332" s="12">
        <f>IF($G332="","",IF($K332="",'設定'!$C$6,$K332)/$L332)</f>
        <v/>
      </c>
      <c r="N332" s="12">
        <f>IF(OR($G332="",$I332=""),"",$I332-$G332-$M332-$J332)</f>
        <v/>
      </c>
      <c r="O332" s="13">
        <f>IF($N332="","",IF($G332&gt;0,$N332/$G332,0))</f>
        <v/>
      </c>
      <c r="P332" s="12">
        <f>IF($G332="","",$G332*$H332)</f>
        <v/>
      </c>
      <c r="Q332" s="12">
        <f>IF($N332="","",$N332-$I332*'設定'!$C$7)</f>
        <v/>
      </c>
      <c r="R332" s="14">
        <f>IF($N332="","",IF(AND($N332&gt;='設定'!$C$4,$O332&gt;='設定'!$C$5),IF($Q332&gt;=0,"仕入れOK","OK・下落に弱い"),"見送り"))</f>
        <v/>
      </c>
      <c r="S332" s="9" t="n"/>
      <c r="T332" s="8" t="n"/>
      <c r="U332" s="4" t="n"/>
      <c r="V332" s="8" t="n"/>
      <c r="W332" s="12">
        <f>IF(OR($G332="",$U332=""),"",$U332-$G332-$M332-$J332)</f>
        <v/>
      </c>
      <c r="X332" s="12">
        <f>IF(OR($I332="",$U332=""),"",$I332-$U332)</f>
        <v/>
      </c>
      <c r="Y332" s="11">
        <f>IF(OR($T332="",$V332=""),"",$V332-$T332)</f>
        <v/>
      </c>
      <c r="Z332" s="11">
        <f>IF(OR($S332="未発送",$S332="発送済",$S332="査定済",$S332="入金済"),1,0)</f>
        <v/>
      </c>
      <c r="AA332" s="11">
        <f>IF($U332="",0,1)</f>
        <v/>
      </c>
    </row>
    <row r="333">
      <c r="A333" s="8" t="n"/>
      <c r="B333" s="9" t="n"/>
      <c r="C333" s="10" t="n"/>
      <c r="D333" s="9" t="n"/>
      <c r="E333" s="9" t="n"/>
      <c r="F333" s="9" t="n"/>
      <c r="G333" s="4" t="n"/>
      <c r="H333" s="5" t="n"/>
      <c r="I333" s="4" t="n"/>
      <c r="J333" s="4" t="n"/>
      <c r="K333" s="4" t="n"/>
      <c r="L333" s="11">
        <f>IF($G333="","",IF($F333="",1,MAX(1,COUNTIF($F$6:$F$505,$F333)-COUNTIFS($F$6:$F$505,$F333,$S$6:$S$505,"見送り"))))</f>
        <v/>
      </c>
      <c r="M333" s="12">
        <f>IF($G333="","",IF($K333="",'設定'!$C$6,$K333)/$L333)</f>
        <v/>
      </c>
      <c r="N333" s="12">
        <f>IF(OR($G333="",$I333=""),"",$I333-$G333-$M333-$J333)</f>
        <v/>
      </c>
      <c r="O333" s="13">
        <f>IF($N333="","",IF($G333&gt;0,$N333/$G333,0))</f>
        <v/>
      </c>
      <c r="P333" s="12">
        <f>IF($G333="","",$G333*$H333)</f>
        <v/>
      </c>
      <c r="Q333" s="12">
        <f>IF($N333="","",$N333-$I333*'設定'!$C$7)</f>
        <v/>
      </c>
      <c r="R333" s="14">
        <f>IF($N333="","",IF(AND($N333&gt;='設定'!$C$4,$O333&gt;='設定'!$C$5),IF($Q333&gt;=0,"仕入れOK","OK・下落に弱い"),"見送り"))</f>
        <v/>
      </c>
      <c r="S333" s="9" t="n"/>
      <c r="T333" s="8" t="n"/>
      <c r="U333" s="4" t="n"/>
      <c r="V333" s="8" t="n"/>
      <c r="W333" s="12">
        <f>IF(OR($G333="",$U333=""),"",$U333-$G333-$M333-$J333)</f>
        <v/>
      </c>
      <c r="X333" s="12">
        <f>IF(OR($I333="",$U333=""),"",$I333-$U333)</f>
        <v/>
      </c>
      <c r="Y333" s="11">
        <f>IF(OR($T333="",$V333=""),"",$V333-$T333)</f>
        <v/>
      </c>
      <c r="Z333" s="11">
        <f>IF(OR($S333="未発送",$S333="発送済",$S333="査定済",$S333="入金済"),1,0)</f>
        <v/>
      </c>
      <c r="AA333" s="11">
        <f>IF($U333="",0,1)</f>
        <v/>
      </c>
    </row>
    <row r="334">
      <c r="A334" s="8" t="n"/>
      <c r="B334" s="9" t="n"/>
      <c r="C334" s="10" t="n"/>
      <c r="D334" s="9" t="n"/>
      <c r="E334" s="9" t="n"/>
      <c r="F334" s="9" t="n"/>
      <c r="G334" s="4" t="n"/>
      <c r="H334" s="5" t="n"/>
      <c r="I334" s="4" t="n"/>
      <c r="J334" s="4" t="n"/>
      <c r="K334" s="4" t="n"/>
      <c r="L334" s="11">
        <f>IF($G334="","",IF($F334="",1,MAX(1,COUNTIF($F$6:$F$505,$F334)-COUNTIFS($F$6:$F$505,$F334,$S$6:$S$505,"見送り"))))</f>
        <v/>
      </c>
      <c r="M334" s="12">
        <f>IF($G334="","",IF($K334="",'設定'!$C$6,$K334)/$L334)</f>
        <v/>
      </c>
      <c r="N334" s="12">
        <f>IF(OR($G334="",$I334=""),"",$I334-$G334-$M334-$J334)</f>
        <v/>
      </c>
      <c r="O334" s="13">
        <f>IF($N334="","",IF($G334&gt;0,$N334/$G334,0))</f>
        <v/>
      </c>
      <c r="P334" s="12">
        <f>IF($G334="","",$G334*$H334)</f>
        <v/>
      </c>
      <c r="Q334" s="12">
        <f>IF($N334="","",$N334-$I334*'設定'!$C$7)</f>
        <v/>
      </c>
      <c r="R334" s="14">
        <f>IF($N334="","",IF(AND($N334&gt;='設定'!$C$4,$O334&gt;='設定'!$C$5),IF($Q334&gt;=0,"仕入れOK","OK・下落に弱い"),"見送り"))</f>
        <v/>
      </c>
      <c r="S334" s="9" t="n"/>
      <c r="T334" s="8" t="n"/>
      <c r="U334" s="4" t="n"/>
      <c r="V334" s="8" t="n"/>
      <c r="W334" s="12">
        <f>IF(OR($G334="",$U334=""),"",$U334-$G334-$M334-$J334)</f>
        <v/>
      </c>
      <c r="X334" s="12">
        <f>IF(OR($I334="",$U334=""),"",$I334-$U334)</f>
        <v/>
      </c>
      <c r="Y334" s="11">
        <f>IF(OR($T334="",$V334=""),"",$V334-$T334)</f>
        <v/>
      </c>
      <c r="Z334" s="11">
        <f>IF(OR($S334="未発送",$S334="発送済",$S334="査定済",$S334="入金済"),1,0)</f>
        <v/>
      </c>
      <c r="AA334" s="11">
        <f>IF($U334="",0,1)</f>
        <v/>
      </c>
    </row>
    <row r="335">
      <c r="A335" s="8" t="n"/>
      <c r="B335" s="9" t="n"/>
      <c r="C335" s="10" t="n"/>
      <c r="D335" s="9" t="n"/>
      <c r="E335" s="9" t="n"/>
      <c r="F335" s="9" t="n"/>
      <c r="G335" s="4" t="n"/>
      <c r="H335" s="5" t="n"/>
      <c r="I335" s="4" t="n"/>
      <c r="J335" s="4" t="n"/>
      <c r="K335" s="4" t="n"/>
      <c r="L335" s="11">
        <f>IF($G335="","",IF($F335="",1,MAX(1,COUNTIF($F$6:$F$505,$F335)-COUNTIFS($F$6:$F$505,$F335,$S$6:$S$505,"見送り"))))</f>
        <v/>
      </c>
      <c r="M335" s="12">
        <f>IF($G335="","",IF($K335="",'設定'!$C$6,$K335)/$L335)</f>
        <v/>
      </c>
      <c r="N335" s="12">
        <f>IF(OR($G335="",$I335=""),"",$I335-$G335-$M335-$J335)</f>
        <v/>
      </c>
      <c r="O335" s="13">
        <f>IF($N335="","",IF($G335&gt;0,$N335/$G335,0))</f>
        <v/>
      </c>
      <c r="P335" s="12">
        <f>IF($G335="","",$G335*$H335)</f>
        <v/>
      </c>
      <c r="Q335" s="12">
        <f>IF($N335="","",$N335-$I335*'設定'!$C$7)</f>
        <v/>
      </c>
      <c r="R335" s="14">
        <f>IF($N335="","",IF(AND($N335&gt;='設定'!$C$4,$O335&gt;='設定'!$C$5),IF($Q335&gt;=0,"仕入れOK","OK・下落に弱い"),"見送り"))</f>
        <v/>
      </c>
      <c r="S335" s="9" t="n"/>
      <c r="T335" s="8" t="n"/>
      <c r="U335" s="4" t="n"/>
      <c r="V335" s="8" t="n"/>
      <c r="W335" s="12">
        <f>IF(OR($G335="",$U335=""),"",$U335-$G335-$M335-$J335)</f>
        <v/>
      </c>
      <c r="X335" s="12">
        <f>IF(OR($I335="",$U335=""),"",$I335-$U335)</f>
        <v/>
      </c>
      <c r="Y335" s="11">
        <f>IF(OR($T335="",$V335=""),"",$V335-$T335)</f>
        <v/>
      </c>
      <c r="Z335" s="11">
        <f>IF(OR($S335="未発送",$S335="発送済",$S335="査定済",$S335="入金済"),1,0)</f>
        <v/>
      </c>
      <c r="AA335" s="11">
        <f>IF($U335="",0,1)</f>
        <v/>
      </c>
    </row>
    <row r="336">
      <c r="A336" s="8" t="n"/>
      <c r="B336" s="9" t="n"/>
      <c r="C336" s="10" t="n"/>
      <c r="D336" s="9" t="n"/>
      <c r="E336" s="9" t="n"/>
      <c r="F336" s="9" t="n"/>
      <c r="G336" s="4" t="n"/>
      <c r="H336" s="5" t="n"/>
      <c r="I336" s="4" t="n"/>
      <c r="J336" s="4" t="n"/>
      <c r="K336" s="4" t="n"/>
      <c r="L336" s="11">
        <f>IF($G336="","",IF($F336="",1,MAX(1,COUNTIF($F$6:$F$505,$F336)-COUNTIFS($F$6:$F$505,$F336,$S$6:$S$505,"見送り"))))</f>
        <v/>
      </c>
      <c r="M336" s="12">
        <f>IF($G336="","",IF($K336="",'設定'!$C$6,$K336)/$L336)</f>
        <v/>
      </c>
      <c r="N336" s="12">
        <f>IF(OR($G336="",$I336=""),"",$I336-$G336-$M336-$J336)</f>
        <v/>
      </c>
      <c r="O336" s="13">
        <f>IF($N336="","",IF($G336&gt;0,$N336/$G336,0))</f>
        <v/>
      </c>
      <c r="P336" s="12">
        <f>IF($G336="","",$G336*$H336)</f>
        <v/>
      </c>
      <c r="Q336" s="12">
        <f>IF($N336="","",$N336-$I336*'設定'!$C$7)</f>
        <v/>
      </c>
      <c r="R336" s="14">
        <f>IF($N336="","",IF(AND($N336&gt;='設定'!$C$4,$O336&gt;='設定'!$C$5),IF($Q336&gt;=0,"仕入れOK","OK・下落に弱い"),"見送り"))</f>
        <v/>
      </c>
      <c r="S336" s="9" t="n"/>
      <c r="T336" s="8" t="n"/>
      <c r="U336" s="4" t="n"/>
      <c r="V336" s="8" t="n"/>
      <c r="W336" s="12">
        <f>IF(OR($G336="",$U336=""),"",$U336-$G336-$M336-$J336)</f>
        <v/>
      </c>
      <c r="X336" s="12">
        <f>IF(OR($I336="",$U336=""),"",$I336-$U336)</f>
        <v/>
      </c>
      <c r="Y336" s="11">
        <f>IF(OR($T336="",$V336=""),"",$V336-$T336)</f>
        <v/>
      </c>
      <c r="Z336" s="11">
        <f>IF(OR($S336="未発送",$S336="発送済",$S336="査定済",$S336="入金済"),1,0)</f>
        <v/>
      </c>
      <c r="AA336" s="11">
        <f>IF($U336="",0,1)</f>
        <v/>
      </c>
    </row>
    <row r="337">
      <c r="A337" s="8" t="n"/>
      <c r="B337" s="9" t="n"/>
      <c r="C337" s="10" t="n"/>
      <c r="D337" s="9" t="n"/>
      <c r="E337" s="9" t="n"/>
      <c r="F337" s="9" t="n"/>
      <c r="G337" s="4" t="n"/>
      <c r="H337" s="5" t="n"/>
      <c r="I337" s="4" t="n"/>
      <c r="J337" s="4" t="n"/>
      <c r="K337" s="4" t="n"/>
      <c r="L337" s="11">
        <f>IF($G337="","",IF($F337="",1,MAX(1,COUNTIF($F$6:$F$505,$F337)-COUNTIFS($F$6:$F$505,$F337,$S$6:$S$505,"見送り"))))</f>
        <v/>
      </c>
      <c r="M337" s="12">
        <f>IF($G337="","",IF($K337="",'設定'!$C$6,$K337)/$L337)</f>
        <v/>
      </c>
      <c r="N337" s="12">
        <f>IF(OR($G337="",$I337=""),"",$I337-$G337-$M337-$J337)</f>
        <v/>
      </c>
      <c r="O337" s="13">
        <f>IF($N337="","",IF($G337&gt;0,$N337/$G337,0))</f>
        <v/>
      </c>
      <c r="P337" s="12">
        <f>IF($G337="","",$G337*$H337)</f>
        <v/>
      </c>
      <c r="Q337" s="12">
        <f>IF($N337="","",$N337-$I337*'設定'!$C$7)</f>
        <v/>
      </c>
      <c r="R337" s="14">
        <f>IF($N337="","",IF(AND($N337&gt;='設定'!$C$4,$O337&gt;='設定'!$C$5),IF($Q337&gt;=0,"仕入れOK","OK・下落に弱い"),"見送り"))</f>
        <v/>
      </c>
      <c r="S337" s="9" t="n"/>
      <c r="T337" s="8" t="n"/>
      <c r="U337" s="4" t="n"/>
      <c r="V337" s="8" t="n"/>
      <c r="W337" s="12">
        <f>IF(OR($G337="",$U337=""),"",$U337-$G337-$M337-$J337)</f>
        <v/>
      </c>
      <c r="X337" s="12">
        <f>IF(OR($I337="",$U337=""),"",$I337-$U337)</f>
        <v/>
      </c>
      <c r="Y337" s="11">
        <f>IF(OR($T337="",$V337=""),"",$V337-$T337)</f>
        <v/>
      </c>
      <c r="Z337" s="11">
        <f>IF(OR($S337="未発送",$S337="発送済",$S337="査定済",$S337="入金済"),1,0)</f>
        <v/>
      </c>
      <c r="AA337" s="11">
        <f>IF($U337="",0,1)</f>
        <v/>
      </c>
    </row>
    <row r="338">
      <c r="A338" s="8" t="n"/>
      <c r="B338" s="9" t="n"/>
      <c r="C338" s="10" t="n"/>
      <c r="D338" s="9" t="n"/>
      <c r="E338" s="9" t="n"/>
      <c r="F338" s="9" t="n"/>
      <c r="G338" s="4" t="n"/>
      <c r="H338" s="5" t="n"/>
      <c r="I338" s="4" t="n"/>
      <c r="J338" s="4" t="n"/>
      <c r="K338" s="4" t="n"/>
      <c r="L338" s="11">
        <f>IF($G338="","",IF($F338="",1,MAX(1,COUNTIF($F$6:$F$505,$F338)-COUNTIFS($F$6:$F$505,$F338,$S$6:$S$505,"見送り"))))</f>
        <v/>
      </c>
      <c r="M338" s="12">
        <f>IF($G338="","",IF($K338="",'設定'!$C$6,$K338)/$L338)</f>
        <v/>
      </c>
      <c r="N338" s="12">
        <f>IF(OR($G338="",$I338=""),"",$I338-$G338-$M338-$J338)</f>
        <v/>
      </c>
      <c r="O338" s="13">
        <f>IF($N338="","",IF($G338&gt;0,$N338/$G338,0))</f>
        <v/>
      </c>
      <c r="P338" s="12">
        <f>IF($G338="","",$G338*$H338)</f>
        <v/>
      </c>
      <c r="Q338" s="12">
        <f>IF($N338="","",$N338-$I338*'設定'!$C$7)</f>
        <v/>
      </c>
      <c r="R338" s="14">
        <f>IF($N338="","",IF(AND($N338&gt;='設定'!$C$4,$O338&gt;='設定'!$C$5),IF($Q338&gt;=0,"仕入れOK","OK・下落に弱い"),"見送り"))</f>
        <v/>
      </c>
      <c r="S338" s="9" t="n"/>
      <c r="T338" s="8" t="n"/>
      <c r="U338" s="4" t="n"/>
      <c r="V338" s="8" t="n"/>
      <c r="W338" s="12">
        <f>IF(OR($G338="",$U338=""),"",$U338-$G338-$M338-$J338)</f>
        <v/>
      </c>
      <c r="X338" s="12">
        <f>IF(OR($I338="",$U338=""),"",$I338-$U338)</f>
        <v/>
      </c>
      <c r="Y338" s="11">
        <f>IF(OR($T338="",$V338=""),"",$V338-$T338)</f>
        <v/>
      </c>
      <c r="Z338" s="11">
        <f>IF(OR($S338="未発送",$S338="発送済",$S338="査定済",$S338="入金済"),1,0)</f>
        <v/>
      </c>
      <c r="AA338" s="11">
        <f>IF($U338="",0,1)</f>
        <v/>
      </c>
    </row>
    <row r="339">
      <c r="A339" s="8" t="n"/>
      <c r="B339" s="9" t="n"/>
      <c r="C339" s="10" t="n"/>
      <c r="D339" s="9" t="n"/>
      <c r="E339" s="9" t="n"/>
      <c r="F339" s="9" t="n"/>
      <c r="G339" s="4" t="n"/>
      <c r="H339" s="5" t="n"/>
      <c r="I339" s="4" t="n"/>
      <c r="J339" s="4" t="n"/>
      <c r="K339" s="4" t="n"/>
      <c r="L339" s="11">
        <f>IF($G339="","",IF($F339="",1,MAX(1,COUNTIF($F$6:$F$505,$F339)-COUNTIFS($F$6:$F$505,$F339,$S$6:$S$505,"見送り"))))</f>
        <v/>
      </c>
      <c r="M339" s="12">
        <f>IF($G339="","",IF($K339="",'設定'!$C$6,$K339)/$L339)</f>
        <v/>
      </c>
      <c r="N339" s="12">
        <f>IF(OR($G339="",$I339=""),"",$I339-$G339-$M339-$J339)</f>
        <v/>
      </c>
      <c r="O339" s="13">
        <f>IF($N339="","",IF($G339&gt;0,$N339/$G339,0))</f>
        <v/>
      </c>
      <c r="P339" s="12">
        <f>IF($G339="","",$G339*$H339)</f>
        <v/>
      </c>
      <c r="Q339" s="12">
        <f>IF($N339="","",$N339-$I339*'設定'!$C$7)</f>
        <v/>
      </c>
      <c r="R339" s="14">
        <f>IF($N339="","",IF(AND($N339&gt;='設定'!$C$4,$O339&gt;='設定'!$C$5),IF($Q339&gt;=0,"仕入れOK","OK・下落に弱い"),"見送り"))</f>
        <v/>
      </c>
      <c r="S339" s="9" t="n"/>
      <c r="T339" s="8" t="n"/>
      <c r="U339" s="4" t="n"/>
      <c r="V339" s="8" t="n"/>
      <c r="W339" s="12">
        <f>IF(OR($G339="",$U339=""),"",$U339-$G339-$M339-$J339)</f>
        <v/>
      </c>
      <c r="X339" s="12">
        <f>IF(OR($I339="",$U339=""),"",$I339-$U339)</f>
        <v/>
      </c>
      <c r="Y339" s="11">
        <f>IF(OR($T339="",$V339=""),"",$V339-$T339)</f>
        <v/>
      </c>
      <c r="Z339" s="11">
        <f>IF(OR($S339="未発送",$S339="発送済",$S339="査定済",$S339="入金済"),1,0)</f>
        <v/>
      </c>
      <c r="AA339" s="11">
        <f>IF($U339="",0,1)</f>
        <v/>
      </c>
    </row>
    <row r="340">
      <c r="A340" s="8" t="n"/>
      <c r="B340" s="9" t="n"/>
      <c r="C340" s="10" t="n"/>
      <c r="D340" s="9" t="n"/>
      <c r="E340" s="9" t="n"/>
      <c r="F340" s="9" t="n"/>
      <c r="G340" s="4" t="n"/>
      <c r="H340" s="5" t="n"/>
      <c r="I340" s="4" t="n"/>
      <c r="J340" s="4" t="n"/>
      <c r="K340" s="4" t="n"/>
      <c r="L340" s="11">
        <f>IF($G340="","",IF($F340="",1,MAX(1,COUNTIF($F$6:$F$505,$F340)-COUNTIFS($F$6:$F$505,$F340,$S$6:$S$505,"見送り"))))</f>
        <v/>
      </c>
      <c r="M340" s="12">
        <f>IF($G340="","",IF($K340="",'設定'!$C$6,$K340)/$L340)</f>
        <v/>
      </c>
      <c r="N340" s="12">
        <f>IF(OR($G340="",$I340=""),"",$I340-$G340-$M340-$J340)</f>
        <v/>
      </c>
      <c r="O340" s="13">
        <f>IF($N340="","",IF($G340&gt;0,$N340/$G340,0))</f>
        <v/>
      </c>
      <c r="P340" s="12">
        <f>IF($G340="","",$G340*$H340)</f>
        <v/>
      </c>
      <c r="Q340" s="12">
        <f>IF($N340="","",$N340-$I340*'設定'!$C$7)</f>
        <v/>
      </c>
      <c r="R340" s="14">
        <f>IF($N340="","",IF(AND($N340&gt;='設定'!$C$4,$O340&gt;='設定'!$C$5),IF($Q340&gt;=0,"仕入れOK","OK・下落に弱い"),"見送り"))</f>
        <v/>
      </c>
      <c r="S340" s="9" t="n"/>
      <c r="T340" s="8" t="n"/>
      <c r="U340" s="4" t="n"/>
      <c r="V340" s="8" t="n"/>
      <c r="W340" s="12">
        <f>IF(OR($G340="",$U340=""),"",$U340-$G340-$M340-$J340)</f>
        <v/>
      </c>
      <c r="X340" s="12">
        <f>IF(OR($I340="",$U340=""),"",$I340-$U340)</f>
        <v/>
      </c>
      <c r="Y340" s="11">
        <f>IF(OR($T340="",$V340=""),"",$V340-$T340)</f>
        <v/>
      </c>
      <c r="Z340" s="11">
        <f>IF(OR($S340="未発送",$S340="発送済",$S340="査定済",$S340="入金済"),1,0)</f>
        <v/>
      </c>
      <c r="AA340" s="11">
        <f>IF($U340="",0,1)</f>
        <v/>
      </c>
    </row>
    <row r="341">
      <c r="A341" s="8" t="n"/>
      <c r="B341" s="9" t="n"/>
      <c r="C341" s="10" t="n"/>
      <c r="D341" s="9" t="n"/>
      <c r="E341" s="9" t="n"/>
      <c r="F341" s="9" t="n"/>
      <c r="G341" s="4" t="n"/>
      <c r="H341" s="5" t="n"/>
      <c r="I341" s="4" t="n"/>
      <c r="J341" s="4" t="n"/>
      <c r="K341" s="4" t="n"/>
      <c r="L341" s="11">
        <f>IF($G341="","",IF($F341="",1,MAX(1,COUNTIF($F$6:$F$505,$F341)-COUNTIFS($F$6:$F$505,$F341,$S$6:$S$505,"見送り"))))</f>
        <v/>
      </c>
      <c r="M341" s="12">
        <f>IF($G341="","",IF($K341="",'設定'!$C$6,$K341)/$L341)</f>
        <v/>
      </c>
      <c r="N341" s="12">
        <f>IF(OR($G341="",$I341=""),"",$I341-$G341-$M341-$J341)</f>
        <v/>
      </c>
      <c r="O341" s="13">
        <f>IF($N341="","",IF($G341&gt;0,$N341/$G341,0))</f>
        <v/>
      </c>
      <c r="P341" s="12">
        <f>IF($G341="","",$G341*$H341)</f>
        <v/>
      </c>
      <c r="Q341" s="12">
        <f>IF($N341="","",$N341-$I341*'設定'!$C$7)</f>
        <v/>
      </c>
      <c r="R341" s="14">
        <f>IF($N341="","",IF(AND($N341&gt;='設定'!$C$4,$O341&gt;='設定'!$C$5),IF($Q341&gt;=0,"仕入れOK","OK・下落に弱い"),"見送り"))</f>
        <v/>
      </c>
      <c r="S341" s="9" t="n"/>
      <c r="T341" s="8" t="n"/>
      <c r="U341" s="4" t="n"/>
      <c r="V341" s="8" t="n"/>
      <c r="W341" s="12">
        <f>IF(OR($G341="",$U341=""),"",$U341-$G341-$M341-$J341)</f>
        <v/>
      </c>
      <c r="X341" s="12">
        <f>IF(OR($I341="",$U341=""),"",$I341-$U341)</f>
        <v/>
      </c>
      <c r="Y341" s="11">
        <f>IF(OR($T341="",$V341=""),"",$V341-$T341)</f>
        <v/>
      </c>
      <c r="Z341" s="11">
        <f>IF(OR($S341="未発送",$S341="発送済",$S341="査定済",$S341="入金済"),1,0)</f>
        <v/>
      </c>
      <c r="AA341" s="11">
        <f>IF($U341="",0,1)</f>
        <v/>
      </c>
    </row>
    <row r="342">
      <c r="A342" s="8" t="n"/>
      <c r="B342" s="9" t="n"/>
      <c r="C342" s="10" t="n"/>
      <c r="D342" s="9" t="n"/>
      <c r="E342" s="9" t="n"/>
      <c r="F342" s="9" t="n"/>
      <c r="G342" s="4" t="n"/>
      <c r="H342" s="5" t="n"/>
      <c r="I342" s="4" t="n"/>
      <c r="J342" s="4" t="n"/>
      <c r="K342" s="4" t="n"/>
      <c r="L342" s="11">
        <f>IF($G342="","",IF($F342="",1,MAX(1,COUNTIF($F$6:$F$505,$F342)-COUNTIFS($F$6:$F$505,$F342,$S$6:$S$505,"見送り"))))</f>
        <v/>
      </c>
      <c r="M342" s="12">
        <f>IF($G342="","",IF($K342="",'設定'!$C$6,$K342)/$L342)</f>
        <v/>
      </c>
      <c r="N342" s="12">
        <f>IF(OR($G342="",$I342=""),"",$I342-$G342-$M342-$J342)</f>
        <v/>
      </c>
      <c r="O342" s="13">
        <f>IF($N342="","",IF($G342&gt;0,$N342/$G342,0))</f>
        <v/>
      </c>
      <c r="P342" s="12">
        <f>IF($G342="","",$G342*$H342)</f>
        <v/>
      </c>
      <c r="Q342" s="12">
        <f>IF($N342="","",$N342-$I342*'設定'!$C$7)</f>
        <v/>
      </c>
      <c r="R342" s="14">
        <f>IF($N342="","",IF(AND($N342&gt;='設定'!$C$4,$O342&gt;='設定'!$C$5),IF($Q342&gt;=0,"仕入れOK","OK・下落に弱い"),"見送り"))</f>
        <v/>
      </c>
      <c r="S342" s="9" t="n"/>
      <c r="T342" s="8" t="n"/>
      <c r="U342" s="4" t="n"/>
      <c r="V342" s="8" t="n"/>
      <c r="W342" s="12">
        <f>IF(OR($G342="",$U342=""),"",$U342-$G342-$M342-$J342)</f>
        <v/>
      </c>
      <c r="X342" s="12">
        <f>IF(OR($I342="",$U342=""),"",$I342-$U342)</f>
        <v/>
      </c>
      <c r="Y342" s="11">
        <f>IF(OR($T342="",$V342=""),"",$V342-$T342)</f>
        <v/>
      </c>
      <c r="Z342" s="11">
        <f>IF(OR($S342="未発送",$S342="発送済",$S342="査定済",$S342="入金済"),1,0)</f>
        <v/>
      </c>
      <c r="AA342" s="11">
        <f>IF($U342="",0,1)</f>
        <v/>
      </c>
    </row>
    <row r="343">
      <c r="A343" s="8" t="n"/>
      <c r="B343" s="9" t="n"/>
      <c r="C343" s="10" t="n"/>
      <c r="D343" s="9" t="n"/>
      <c r="E343" s="9" t="n"/>
      <c r="F343" s="9" t="n"/>
      <c r="G343" s="4" t="n"/>
      <c r="H343" s="5" t="n"/>
      <c r="I343" s="4" t="n"/>
      <c r="J343" s="4" t="n"/>
      <c r="K343" s="4" t="n"/>
      <c r="L343" s="11">
        <f>IF($G343="","",IF($F343="",1,MAX(1,COUNTIF($F$6:$F$505,$F343)-COUNTIFS($F$6:$F$505,$F343,$S$6:$S$505,"見送り"))))</f>
        <v/>
      </c>
      <c r="M343" s="12">
        <f>IF($G343="","",IF($K343="",'設定'!$C$6,$K343)/$L343)</f>
        <v/>
      </c>
      <c r="N343" s="12">
        <f>IF(OR($G343="",$I343=""),"",$I343-$G343-$M343-$J343)</f>
        <v/>
      </c>
      <c r="O343" s="13">
        <f>IF($N343="","",IF($G343&gt;0,$N343/$G343,0))</f>
        <v/>
      </c>
      <c r="P343" s="12">
        <f>IF($G343="","",$G343*$H343)</f>
        <v/>
      </c>
      <c r="Q343" s="12">
        <f>IF($N343="","",$N343-$I343*'設定'!$C$7)</f>
        <v/>
      </c>
      <c r="R343" s="14">
        <f>IF($N343="","",IF(AND($N343&gt;='設定'!$C$4,$O343&gt;='設定'!$C$5),IF($Q343&gt;=0,"仕入れOK","OK・下落に弱い"),"見送り"))</f>
        <v/>
      </c>
      <c r="S343" s="9" t="n"/>
      <c r="T343" s="8" t="n"/>
      <c r="U343" s="4" t="n"/>
      <c r="V343" s="8" t="n"/>
      <c r="W343" s="12">
        <f>IF(OR($G343="",$U343=""),"",$U343-$G343-$M343-$J343)</f>
        <v/>
      </c>
      <c r="X343" s="12">
        <f>IF(OR($I343="",$U343=""),"",$I343-$U343)</f>
        <v/>
      </c>
      <c r="Y343" s="11">
        <f>IF(OR($T343="",$V343=""),"",$V343-$T343)</f>
        <v/>
      </c>
      <c r="Z343" s="11">
        <f>IF(OR($S343="未発送",$S343="発送済",$S343="査定済",$S343="入金済"),1,0)</f>
        <v/>
      </c>
      <c r="AA343" s="11">
        <f>IF($U343="",0,1)</f>
        <v/>
      </c>
    </row>
    <row r="344">
      <c r="A344" s="8" t="n"/>
      <c r="B344" s="9" t="n"/>
      <c r="C344" s="10" t="n"/>
      <c r="D344" s="9" t="n"/>
      <c r="E344" s="9" t="n"/>
      <c r="F344" s="9" t="n"/>
      <c r="G344" s="4" t="n"/>
      <c r="H344" s="5" t="n"/>
      <c r="I344" s="4" t="n"/>
      <c r="J344" s="4" t="n"/>
      <c r="K344" s="4" t="n"/>
      <c r="L344" s="11">
        <f>IF($G344="","",IF($F344="",1,MAX(1,COUNTIF($F$6:$F$505,$F344)-COUNTIFS($F$6:$F$505,$F344,$S$6:$S$505,"見送り"))))</f>
        <v/>
      </c>
      <c r="M344" s="12">
        <f>IF($G344="","",IF($K344="",'設定'!$C$6,$K344)/$L344)</f>
        <v/>
      </c>
      <c r="N344" s="12">
        <f>IF(OR($G344="",$I344=""),"",$I344-$G344-$M344-$J344)</f>
        <v/>
      </c>
      <c r="O344" s="13">
        <f>IF($N344="","",IF($G344&gt;0,$N344/$G344,0))</f>
        <v/>
      </c>
      <c r="P344" s="12">
        <f>IF($G344="","",$G344*$H344)</f>
        <v/>
      </c>
      <c r="Q344" s="12">
        <f>IF($N344="","",$N344-$I344*'設定'!$C$7)</f>
        <v/>
      </c>
      <c r="R344" s="14">
        <f>IF($N344="","",IF(AND($N344&gt;='設定'!$C$4,$O344&gt;='設定'!$C$5),IF($Q344&gt;=0,"仕入れOK","OK・下落に弱い"),"見送り"))</f>
        <v/>
      </c>
      <c r="S344" s="9" t="n"/>
      <c r="T344" s="8" t="n"/>
      <c r="U344" s="4" t="n"/>
      <c r="V344" s="8" t="n"/>
      <c r="W344" s="12">
        <f>IF(OR($G344="",$U344=""),"",$U344-$G344-$M344-$J344)</f>
        <v/>
      </c>
      <c r="X344" s="12">
        <f>IF(OR($I344="",$U344=""),"",$I344-$U344)</f>
        <v/>
      </c>
      <c r="Y344" s="11">
        <f>IF(OR($T344="",$V344=""),"",$V344-$T344)</f>
        <v/>
      </c>
      <c r="Z344" s="11">
        <f>IF(OR($S344="未発送",$S344="発送済",$S344="査定済",$S344="入金済"),1,0)</f>
        <v/>
      </c>
      <c r="AA344" s="11">
        <f>IF($U344="",0,1)</f>
        <v/>
      </c>
    </row>
    <row r="345">
      <c r="A345" s="8" t="n"/>
      <c r="B345" s="9" t="n"/>
      <c r="C345" s="10" t="n"/>
      <c r="D345" s="9" t="n"/>
      <c r="E345" s="9" t="n"/>
      <c r="F345" s="9" t="n"/>
      <c r="G345" s="4" t="n"/>
      <c r="H345" s="5" t="n"/>
      <c r="I345" s="4" t="n"/>
      <c r="J345" s="4" t="n"/>
      <c r="K345" s="4" t="n"/>
      <c r="L345" s="11">
        <f>IF($G345="","",IF($F345="",1,MAX(1,COUNTIF($F$6:$F$505,$F345)-COUNTIFS($F$6:$F$505,$F345,$S$6:$S$505,"見送り"))))</f>
        <v/>
      </c>
      <c r="M345" s="12">
        <f>IF($G345="","",IF($K345="",'設定'!$C$6,$K345)/$L345)</f>
        <v/>
      </c>
      <c r="N345" s="12">
        <f>IF(OR($G345="",$I345=""),"",$I345-$G345-$M345-$J345)</f>
        <v/>
      </c>
      <c r="O345" s="13">
        <f>IF($N345="","",IF($G345&gt;0,$N345/$G345,0))</f>
        <v/>
      </c>
      <c r="P345" s="12">
        <f>IF($G345="","",$G345*$H345)</f>
        <v/>
      </c>
      <c r="Q345" s="12">
        <f>IF($N345="","",$N345-$I345*'設定'!$C$7)</f>
        <v/>
      </c>
      <c r="R345" s="14">
        <f>IF($N345="","",IF(AND($N345&gt;='設定'!$C$4,$O345&gt;='設定'!$C$5),IF($Q345&gt;=0,"仕入れOK","OK・下落に弱い"),"見送り"))</f>
        <v/>
      </c>
      <c r="S345" s="9" t="n"/>
      <c r="T345" s="8" t="n"/>
      <c r="U345" s="4" t="n"/>
      <c r="V345" s="8" t="n"/>
      <c r="W345" s="12">
        <f>IF(OR($G345="",$U345=""),"",$U345-$G345-$M345-$J345)</f>
        <v/>
      </c>
      <c r="X345" s="12">
        <f>IF(OR($I345="",$U345=""),"",$I345-$U345)</f>
        <v/>
      </c>
      <c r="Y345" s="11">
        <f>IF(OR($T345="",$V345=""),"",$V345-$T345)</f>
        <v/>
      </c>
      <c r="Z345" s="11">
        <f>IF(OR($S345="未発送",$S345="発送済",$S345="査定済",$S345="入金済"),1,0)</f>
        <v/>
      </c>
      <c r="AA345" s="11">
        <f>IF($U345="",0,1)</f>
        <v/>
      </c>
    </row>
    <row r="346">
      <c r="A346" s="8" t="n"/>
      <c r="B346" s="9" t="n"/>
      <c r="C346" s="10" t="n"/>
      <c r="D346" s="9" t="n"/>
      <c r="E346" s="9" t="n"/>
      <c r="F346" s="9" t="n"/>
      <c r="G346" s="4" t="n"/>
      <c r="H346" s="5" t="n"/>
      <c r="I346" s="4" t="n"/>
      <c r="J346" s="4" t="n"/>
      <c r="K346" s="4" t="n"/>
      <c r="L346" s="11">
        <f>IF($G346="","",IF($F346="",1,MAX(1,COUNTIF($F$6:$F$505,$F346)-COUNTIFS($F$6:$F$505,$F346,$S$6:$S$505,"見送り"))))</f>
        <v/>
      </c>
      <c r="M346" s="12">
        <f>IF($G346="","",IF($K346="",'設定'!$C$6,$K346)/$L346)</f>
        <v/>
      </c>
      <c r="N346" s="12">
        <f>IF(OR($G346="",$I346=""),"",$I346-$G346-$M346-$J346)</f>
        <v/>
      </c>
      <c r="O346" s="13">
        <f>IF($N346="","",IF($G346&gt;0,$N346/$G346,0))</f>
        <v/>
      </c>
      <c r="P346" s="12">
        <f>IF($G346="","",$G346*$H346)</f>
        <v/>
      </c>
      <c r="Q346" s="12">
        <f>IF($N346="","",$N346-$I346*'設定'!$C$7)</f>
        <v/>
      </c>
      <c r="R346" s="14">
        <f>IF($N346="","",IF(AND($N346&gt;='設定'!$C$4,$O346&gt;='設定'!$C$5),IF($Q346&gt;=0,"仕入れOK","OK・下落に弱い"),"見送り"))</f>
        <v/>
      </c>
      <c r="S346" s="9" t="n"/>
      <c r="T346" s="8" t="n"/>
      <c r="U346" s="4" t="n"/>
      <c r="V346" s="8" t="n"/>
      <c r="W346" s="12">
        <f>IF(OR($G346="",$U346=""),"",$U346-$G346-$M346-$J346)</f>
        <v/>
      </c>
      <c r="X346" s="12">
        <f>IF(OR($I346="",$U346=""),"",$I346-$U346)</f>
        <v/>
      </c>
      <c r="Y346" s="11">
        <f>IF(OR($T346="",$V346=""),"",$V346-$T346)</f>
        <v/>
      </c>
      <c r="Z346" s="11">
        <f>IF(OR($S346="未発送",$S346="発送済",$S346="査定済",$S346="入金済"),1,0)</f>
        <v/>
      </c>
      <c r="AA346" s="11">
        <f>IF($U346="",0,1)</f>
        <v/>
      </c>
    </row>
    <row r="347">
      <c r="A347" s="8" t="n"/>
      <c r="B347" s="9" t="n"/>
      <c r="C347" s="10" t="n"/>
      <c r="D347" s="9" t="n"/>
      <c r="E347" s="9" t="n"/>
      <c r="F347" s="9" t="n"/>
      <c r="G347" s="4" t="n"/>
      <c r="H347" s="5" t="n"/>
      <c r="I347" s="4" t="n"/>
      <c r="J347" s="4" t="n"/>
      <c r="K347" s="4" t="n"/>
      <c r="L347" s="11">
        <f>IF($G347="","",IF($F347="",1,MAX(1,COUNTIF($F$6:$F$505,$F347)-COUNTIFS($F$6:$F$505,$F347,$S$6:$S$505,"見送り"))))</f>
        <v/>
      </c>
      <c r="M347" s="12">
        <f>IF($G347="","",IF($K347="",'設定'!$C$6,$K347)/$L347)</f>
        <v/>
      </c>
      <c r="N347" s="12">
        <f>IF(OR($G347="",$I347=""),"",$I347-$G347-$M347-$J347)</f>
        <v/>
      </c>
      <c r="O347" s="13">
        <f>IF($N347="","",IF($G347&gt;0,$N347/$G347,0))</f>
        <v/>
      </c>
      <c r="P347" s="12">
        <f>IF($G347="","",$G347*$H347)</f>
        <v/>
      </c>
      <c r="Q347" s="12">
        <f>IF($N347="","",$N347-$I347*'設定'!$C$7)</f>
        <v/>
      </c>
      <c r="R347" s="14">
        <f>IF($N347="","",IF(AND($N347&gt;='設定'!$C$4,$O347&gt;='設定'!$C$5),IF($Q347&gt;=0,"仕入れOK","OK・下落に弱い"),"見送り"))</f>
        <v/>
      </c>
      <c r="S347" s="9" t="n"/>
      <c r="T347" s="8" t="n"/>
      <c r="U347" s="4" t="n"/>
      <c r="V347" s="8" t="n"/>
      <c r="W347" s="12">
        <f>IF(OR($G347="",$U347=""),"",$U347-$G347-$M347-$J347)</f>
        <v/>
      </c>
      <c r="X347" s="12">
        <f>IF(OR($I347="",$U347=""),"",$I347-$U347)</f>
        <v/>
      </c>
      <c r="Y347" s="11">
        <f>IF(OR($T347="",$V347=""),"",$V347-$T347)</f>
        <v/>
      </c>
      <c r="Z347" s="11">
        <f>IF(OR($S347="未発送",$S347="発送済",$S347="査定済",$S347="入金済"),1,0)</f>
        <v/>
      </c>
      <c r="AA347" s="11">
        <f>IF($U347="",0,1)</f>
        <v/>
      </c>
    </row>
    <row r="348">
      <c r="A348" s="8" t="n"/>
      <c r="B348" s="9" t="n"/>
      <c r="C348" s="10" t="n"/>
      <c r="D348" s="9" t="n"/>
      <c r="E348" s="9" t="n"/>
      <c r="F348" s="9" t="n"/>
      <c r="G348" s="4" t="n"/>
      <c r="H348" s="5" t="n"/>
      <c r="I348" s="4" t="n"/>
      <c r="J348" s="4" t="n"/>
      <c r="K348" s="4" t="n"/>
      <c r="L348" s="11">
        <f>IF($G348="","",IF($F348="",1,MAX(1,COUNTIF($F$6:$F$505,$F348)-COUNTIFS($F$6:$F$505,$F348,$S$6:$S$505,"見送り"))))</f>
        <v/>
      </c>
      <c r="M348" s="12">
        <f>IF($G348="","",IF($K348="",'設定'!$C$6,$K348)/$L348)</f>
        <v/>
      </c>
      <c r="N348" s="12">
        <f>IF(OR($G348="",$I348=""),"",$I348-$G348-$M348-$J348)</f>
        <v/>
      </c>
      <c r="O348" s="13">
        <f>IF($N348="","",IF($G348&gt;0,$N348/$G348,0))</f>
        <v/>
      </c>
      <c r="P348" s="12">
        <f>IF($G348="","",$G348*$H348)</f>
        <v/>
      </c>
      <c r="Q348" s="12">
        <f>IF($N348="","",$N348-$I348*'設定'!$C$7)</f>
        <v/>
      </c>
      <c r="R348" s="14">
        <f>IF($N348="","",IF(AND($N348&gt;='設定'!$C$4,$O348&gt;='設定'!$C$5),IF($Q348&gt;=0,"仕入れOK","OK・下落に弱い"),"見送り"))</f>
        <v/>
      </c>
      <c r="S348" s="9" t="n"/>
      <c r="T348" s="8" t="n"/>
      <c r="U348" s="4" t="n"/>
      <c r="V348" s="8" t="n"/>
      <c r="W348" s="12">
        <f>IF(OR($G348="",$U348=""),"",$U348-$G348-$M348-$J348)</f>
        <v/>
      </c>
      <c r="X348" s="12">
        <f>IF(OR($I348="",$U348=""),"",$I348-$U348)</f>
        <v/>
      </c>
      <c r="Y348" s="11">
        <f>IF(OR($T348="",$V348=""),"",$V348-$T348)</f>
        <v/>
      </c>
      <c r="Z348" s="11">
        <f>IF(OR($S348="未発送",$S348="発送済",$S348="査定済",$S348="入金済"),1,0)</f>
        <v/>
      </c>
      <c r="AA348" s="11">
        <f>IF($U348="",0,1)</f>
        <v/>
      </c>
    </row>
    <row r="349">
      <c r="A349" s="8" t="n"/>
      <c r="B349" s="9" t="n"/>
      <c r="C349" s="10" t="n"/>
      <c r="D349" s="9" t="n"/>
      <c r="E349" s="9" t="n"/>
      <c r="F349" s="9" t="n"/>
      <c r="G349" s="4" t="n"/>
      <c r="H349" s="5" t="n"/>
      <c r="I349" s="4" t="n"/>
      <c r="J349" s="4" t="n"/>
      <c r="K349" s="4" t="n"/>
      <c r="L349" s="11">
        <f>IF($G349="","",IF($F349="",1,MAX(1,COUNTIF($F$6:$F$505,$F349)-COUNTIFS($F$6:$F$505,$F349,$S$6:$S$505,"見送り"))))</f>
        <v/>
      </c>
      <c r="M349" s="12">
        <f>IF($G349="","",IF($K349="",'設定'!$C$6,$K349)/$L349)</f>
        <v/>
      </c>
      <c r="N349" s="12">
        <f>IF(OR($G349="",$I349=""),"",$I349-$G349-$M349-$J349)</f>
        <v/>
      </c>
      <c r="O349" s="13">
        <f>IF($N349="","",IF($G349&gt;0,$N349/$G349,0))</f>
        <v/>
      </c>
      <c r="P349" s="12">
        <f>IF($G349="","",$G349*$H349)</f>
        <v/>
      </c>
      <c r="Q349" s="12">
        <f>IF($N349="","",$N349-$I349*'設定'!$C$7)</f>
        <v/>
      </c>
      <c r="R349" s="14">
        <f>IF($N349="","",IF(AND($N349&gt;='設定'!$C$4,$O349&gt;='設定'!$C$5),IF($Q349&gt;=0,"仕入れOK","OK・下落に弱い"),"見送り"))</f>
        <v/>
      </c>
      <c r="S349" s="9" t="n"/>
      <c r="T349" s="8" t="n"/>
      <c r="U349" s="4" t="n"/>
      <c r="V349" s="8" t="n"/>
      <c r="W349" s="12">
        <f>IF(OR($G349="",$U349=""),"",$U349-$G349-$M349-$J349)</f>
        <v/>
      </c>
      <c r="X349" s="12">
        <f>IF(OR($I349="",$U349=""),"",$I349-$U349)</f>
        <v/>
      </c>
      <c r="Y349" s="11">
        <f>IF(OR($T349="",$V349=""),"",$V349-$T349)</f>
        <v/>
      </c>
      <c r="Z349" s="11">
        <f>IF(OR($S349="未発送",$S349="発送済",$S349="査定済",$S349="入金済"),1,0)</f>
        <v/>
      </c>
      <c r="AA349" s="11">
        <f>IF($U349="",0,1)</f>
        <v/>
      </c>
    </row>
    <row r="350">
      <c r="A350" s="8" t="n"/>
      <c r="B350" s="9" t="n"/>
      <c r="C350" s="10" t="n"/>
      <c r="D350" s="9" t="n"/>
      <c r="E350" s="9" t="n"/>
      <c r="F350" s="9" t="n"/>
      <c r="G350" s="4" t="n"/>
      <c r="H350" s="5" t="n"/>
      <c r="I350" s="4" t="n"/>
      <c r="J350" s="4" t="n"/>
      <c r="K350" s="4" t="n"/>
      <c r="L350" s="11">
        <f>IF($G350="","",IF($F350="",1,MAX(1,COUNTIF($F$6:$F$505,$F350)-COUNTIFS($F$6:$F$505,$F350,$S$6:$S$505,"見送り"))))</f>
        <v/>
      </c>
      <c r="M350" s="12">
        <f>IF($G350="","",IF($K350="",'設定'!$C$6,$K350)/$L350)</f>
        <v/>
      </c>
      <c r="N350" s="12">
        <f>IF(OR($G350="",$I350=""),"",$I350-$G350-$M350-$J350)</f>
        <v/>
      </c>
      <c r="O350" s="13">
        <f>IF($N350="","",IF($G350&gt;0,$N350/$G350,0))</f>
        <v/>
      </c>
      <c r="P350" s="12">
        <f>IF($G350="","",$G350*$H350)</f>
        <v/>
      </c>
      <c r="Q350" s="12">
        <f>IF($N350="","",$N350-$I350*'設定'!$C$7)</f>
        <v/>
      </c>
      <c r="R350" s="14">
        <f>IF($N350="","",IF(AND($N350&gt;='設定'!$C$4,$O350&gt;='設定'!$C$5),IF($Q350&gt;=0,"仕入れOK","OK・下落に弱い"),"見送り"))</f>
        <v/>
      </c>
      <c r="S350" s="9" t="n"/>
      <c r="T350" s="8" t="n"/>
      <c r="U350" s="4" t="n"/>
      <c r="V350" s="8" t="n"/>
      <c r="W350" s="12">
        <f>IF(OR($G350="",$U350=""),"",$U350-$G350-$M350-$J350)</f>
        <v/>
      </c>
      <c r="X350" s="12">
        <f>IF(OR($I350="",$U350=""),"",$I350-$U350)</f>
        <v/>
      </c>
      <c r="Y350" s="11">
        <f>IF(OR($T350="",$V350=""),"",$V350-$T350)</f>
        <v/>
      </c>
      <c r="Z350" s="11">
        <f>IF(OR($S350="未発送",$S350="発送済",$S350="査定済",$S350="入金済"),1,0)</f>
        <v/>
      </c>
      <c r="AA350" s="11">
        <f>IF($U350="",0,1)</f>
        <v/>
      </c>
    </row>
    <row r="351">
      <c r="A351" s="8" t="n"/>
      <c r="B351" s="9" t="n"/>
      <c r="C351" s="10" t="n"/>
      <c r="D351" s="9" t="n"/>
      <c r="E351" s="9" t="n"/>
      <c r="F351" s="9" t="n"/>
      <c r="G351" s="4" t="n"/>
      <c r="H351" s="5" t="n"/>
      <c r="I351" s="4" t="n"/>
      <c r="J351" s="4" t="n"/>
      <c r="K351" s="4" t="n"/>
      <c r="L351" s="11">
        <f>IF($G351="","",IF($F351="",1,MAX(1,COUNTIF($F$6:$F$505,$F351)-COUNTIFS($F$6:$F$505,$F351,$S$6:$S$505,"見送り"))))</f>
        <v/>
      </c>
      <c r="M351" s="12">
        <f>IF($G351="","",IF($K351="",'設定'!$C$6,$K351)/$L351)</f>
        <v/>
      </c>
      <c r="N351" s="12">
        <f>IF(OR($G351="",$I351=""),"",$I351-$G351-$M351-$J351)</f>
        <v/>
      </c>
      <c r="O351" s="13">
        <f>IF($N351="","",IF($G351&gt;0,$N351/$G351,0))</f>
        <v/>
      </c>
      <c r="P351" s="12">
        <f>IF($G351="","",$G351*$H351)</f>
        <v/>
      </c>
      <c r="Q351" s="12">
        <f>IF($N351="","",$N351-$I351*'設定'!$C$7)</f>
        <v/>
      </c>
      <c r="R351" s="14">
        <f>IF($N351="","",IF(AND($N351&gt;='設定'!$C$4,$O351&gt;='設定'!$C$5),IF($Q351&gt;=0,"仕入れOK","OK・下落に弱い"),"見送り"))</f>
        <v/>
      </c>
      <c r="S351" s="9" t="n"/>
      <c r="T351" s="8" t="n"/>
      <c r="U351" s="4" t="n"/>
      <c r="V351" s="8" t="n"/>
      <c r="W351" s="12">
        <f>IF(OR($G351="",$U351=""),"",$U351-$G351-$M351-$J351)</f>
        <v/>
      </c>
      <c r="X351" s="12">
        <f>IF(OR($I351="",$U351=""),"",$I351-$U351)</f>
        <v/>
      </c>
      <c r="Y351" s="11">
        <f>IF(OR($T351="",$V351=""),"",$V351-$T351)</f>
        <v/>
      </c>
      <c r="Z351" s="11">
        <f>IF(OR($S351="未発送",$S351="発送済",$S351="査定済",$S351="入金済"),1,0)</f>
        <v/>
      </c>
      <c r="AA351" s="11">
        <f>IF($U351="",0,1)</f>
        <v/>
      </c>
    </row>
    <row r="352">
      <c r="A352" s="8" t="n"/>
      <c r="B352" s="9" t="n"/>
      <c r="C352" s="10" t="n"/>
      <c r="D352" s="9" t="n"/>
      <c r="E352" s="9" t="n"/>
      <c r="F352" s="9" t="n"/>
      <c r="G352" s="4" t="n"/>
      <c r="H352" s="5" t="n"/>
      <c r="I352" s="4" t="n"/>
      <c r="J352" s="4" t="n"/>
      <c r="K352" s="4" t="n"/>
      <c r="L352" s="11">
        <f>IF($G352="","",IF($F352="",1,MAX(1,COUNTIF($F$6:$F$505,$F352)-COUNTIFS($F$6:$F$505,$F352,$S$6:$S$505,"見送り"))))</f>
        <v/>
      </c>
      <c r="M352" s="12">
        <f>IF($G352="","",IF($K352="",'設定'!$C$6,$K352)/$L352)</f>
        <v/>
      </c>
      <c r="N352" s="12">
        <f>IF(OR($G352="",$I352=""),"",$I352-$G352-$M352-$J352)</f>
        <v/>
      </c>
      <c r="O352" s="13">
        <f>IF($N352="","",IF($G352&gt;0,$N352/$G352,0))</f>
        <v/>
      </c>
      <c r="P352" s="12">
        <f>IF($G352="","",$G352*$H352)</f>
        <v/>
      </c>
      <c r="Q352" s="12">
        <f>IF($N352="","",$N352-$I352*'設定'!$C$7)</f>
        <v/>
      </c>
      <c r="R352" s="14">
        <f>IF($N352="","",IF(AND($N352&gt;='設定'!$C$4,$O352&gt;='設定'!$C$5),IF($Q352&gt;=0,"仕入れOK","OK・下落に弱い"),"見送り"))</f>
        <v/>
      </c>
      <c r="S352" s="9" t="n"/>
      <c r="T352" s="8" t="n"/>
      <c r="U352" s="4" t="n"/>
      <c r="V352" s="8" t="n"/>
      <c r="W352" s="12">
        <f>IF(OR($G352="",$U352=""),"",$U352-$G352-$M352-$J352)</f>
        <v/>
      </c>
      <c r="X352" s="12">
        <f>IF(OR($I352="",$U352=""),"",$I352-$U352)</f>
        <v/>
      </c>
      <c r="Y352" s="11">
        <f>IF(OR($T352="",$V352=""),"",$V352-$T352)</f>
        <v/>
      </c>
      <c r="Z352" s="11">
        <f>IF(OR($S352="未発送",$S352="発送済",$S352="査定済",$S352="入金済"),1,0)</f>
        <v/>
      </c>
      <c r="AA352" s="11">
        <f>IF($U352="",0,1)</f>
        <v/>
      </c>
    </row>
    <row r="353">
      <c r="A353" s="8" t="n"/>
      <c r="B353" s="9" t="n"/>
      <c r="C353" s="10" t="n"/>
      <c r="D353" s="9" t="n"/>
      <c r="E353" s="9" t="n"/>
      <c r="F353" s="9" t="n"/>
      <c r="G353" s="4" t="n"/>
      <c r="H353" s="5" t="n"/>
      <c r="I353" s="4" t="n"/>
      <c r="J353" s="4" t="n"/>
      <c r="K353" s="4" t="n"/>
      <c r="L353" s="11">
        <f>IF($G353="","",IF($F353="",1,MAX(1,COUNTIF($F$6:$F$505,$F353)-COUNTIFS($F$6:$F$505,$F353,$S$6:$S$505,"見送り"))))</f>
        <v/>
      </c>
      <c r="M353" s="12">
        <f>IF($G353="","",IF($K353="",'設定'!$C$6,$K353)/$L353)</f>
        <v/>
      </c>
      <c r="N353" s="12">
        <f>IF(OR($G353="",$I353=""),"",$I353-$G353-$M353-$J353)</f>
        <v/>
      </c>
      <c r="O353" s="13">
        <f>IF($N353="","",IF($G353&gt;0,$N353/$G353,0))</f>
        <v/>
      </c>
      <c r="P353" s="12">
        <f>IF($G353="","",$G353*$H353)</f>
        <v/>
      </c>
      <c r="Q353" s="12">
        <f>IF($N353="","",$N353-$I353*'設定'!$C$7)</f>
        <v/>
      </c>
      <c r="R353" s="14">
        <f>IF($N353="","",IF(AND($N353&gt;='設定'!$C$4,$O353&gt;='設定'!$C$5),IF($Q353&gt;=0,"仕入れOK","OK・下落に弱い"),"見送り"))</f>
        <v/>
      </c>
      <c r="S353" s="9" t="n"/>
      <c r="T353" s="8" t="n"/>
      <c r="U353" s="4" t="n"/>
      <c r="V353" s="8" t="n"/>
      <c r="W353" s="12">
        <f>IF(OR($G353="",$U353=""),"",$U353-$G353-$M353-$J353)</f>
        <v/>
      </c>
      <c r="X353" s="12">
        <f>IF(OR($I353="",$U353=""),"",$I353-$U353)</f>
        <v/>
      </c>
      <c r="Y353" s="11">
        <f>IF(OR($T353="",$V353=""),"",$V353-$T353)</f>
        <v/>
      </c>
      <c r="Z353" s="11">
        <f>IF(OR($S353="未発送",$S353="発送済",$S353="査定済",$S353="入金済"),1,0)</f>
        <v/>
      </c>
      <c r="AA353" s="11">
        <f>IF($U353="",0,1)</f>
        <v/>
      </c>
    </row>
    <row r="354">
      <c r="A354" s="8" t="n"/>
      <c r="B354" s="9" t="n"/>
      <c r="C354" s="10" t="n"/>
      <c r="D354" s="9" t="n"/>
      <c r="E354" s="9" t="n"/>
      <c r="F354" s="9" t="n"/>
      <c r="G354" s="4" t="n"/>
      <c r="H354" s="5" t="n"/>
      <c r="I354" s="4" t="n"/>
      <c r="J354" s="4" t="n"/>
      <c r="K354" s="4" t="n"/>
      <c r="L354" s="11">
        <f>IF($G354="","",IF($F354="",1,MAX(1,COUNTIF($F$6:$F$505,$F354)-COUNTIFS($F$6:$F$505,$F354,$S$6:$S$505,"見送り"))))</f>
        <v/>
      </c>
      <c r="M354" s="12">
        <f>IF($G354="","",IF($K354="",'設定'!$C$6,$K354)/$L354)</f>
        <v/>
      </c>
      <c r="N354" s="12">
        <f>IF(OR($G354="",$I354=""),"",$I354-$G354-$M354-$J354)</f>
        <v/>
      </c>
      <c r="O354" s="13">
        <f>IF($N354="","",IF($G354&gt;0,$N354/$G354,0))</f>
        <v/>
      </c>
      <c r="P354" s="12">
        <f>IF($G354="","",$G354*$H354)</f>
        <v/>
      </c>
      <c r="Q354" s="12">
        <f>IF($N354="","",$N354-$I354*'設定'!$C$7)</f>
        <v/>
      </c>
      <c r="R354" s="14">
        <f>IF($N354="","",IF(AND($N354&gt;='設定'!$C$4,$O354&gt;='設定'!$C$5),IF($Q354&gt;=0,"仕入れOK","OK・下落に弱い"),"見送り"))</f>
        <v/>
      </c>
      <c r="S354" s="9" t="n"/>
      <c r="T354" s="8" t="n"/>
      <c r="U354" s="4" t="n"/>
      <c r="V354" s="8" t="n"/>
      <c r="W354" s="12">
        <f>IF(OR($G354="",$U354=""),"",$U354-$G354-$M354-$J354)</f>
        <v/>
      </c>
      <c r="X354" s="12">
        <f>IF(OR($I354="",$U354=""),"",$I354-$U354)</f>
        <v/>
      </c>
      <c r="Y354" s="11">
        <f>IF(OR($T354="",$V354=""),"",$V354-$T354)</f>
        <v/>
      </c>
      <c r="Z354" s="11">
        <f>IF(OR($S354="未発送",$S354="発送済",$S354="査定済",$S354="入金済"),1,0)</f>
        <v/>
      </c>
      <c r="AA354" s="11">
        <f>IF($U354="",0,1)</f>
        <v/>
      </c>
    </row>
    <row r="355">
      <c r="A355" s="8" t="n"/>
      <c r="B355" s="9" t="n"/>
      <c r="C355" s="10" t="n"/>
      <c r="D355" s="9" t="n"/>
      <c r="E355" s="9" t="n"/>
      <c r="F355" s="9" t="n"/>
      <c r="G355" s="4" t="n"/>
      <c r="H355" s="5" t="n"/>
      <c r="I355" s="4" t="n"/>
      <c r="J355" s="4" t="n"/>
      <c r="K355" s="4" t="n"/>
      <c r="L355" s="11">
        <f>IF($G355="","",IF($F355="",1,MAX(1,COUNTIF($F$6:$F$505,$F355)-COUNTIFS($F$6:$F$505,$F355,$S$6:$S$505,"見送り"))))</f>
        <v/>
      </c>
      <c r="M355" s="12">
        <f>IF($G355="","",IF($K355="",'設定'!$C$6,$K355)/$L355)</f>
        <v/>
      </c>
      <c r="N355" s="12">
        <f>IF(OR($G355="",$I355=""),"",$I355-$G355-$M355-$J355)</f>
        <v/>
      </c>
      <c r="O355" s="13">
        <f>IF($N355="","",IF($G355&gt;0,$N355/$G355,0))</f>
        <v/>
      </c>
      <c r="P355" s="12">
        <f>IF($G355="","",$G355*$H355)</f>
        <v/>
      </c>
      <c r="Q355" s="12">
        <f>IF($N355="","",$N355-$I355*'設定'!$C$7)</f>
        <v/>
      </c>
      <c r="R355" s="14">
        <f>IF($N355="","",IF(AND($N355&gt;='設定'!$C$4,$O355&gt;='設定'!$C$5),IF($Q355&gt;=0,"仕入れOK","OK・下落に弱い"),"見送り"))</f>
        <v/>
      </c>
      <c r="S355" s="9" t="n"/>
      <c r="T355" s="8" t="n"/>
      <c r="U355" s="4" t="n"/>
      <c r="V355" s="8" t="n"/>
      <c r="W355" s="12">
        <f>IF(OR($G355="",$U355=""),"",$U355-$G355-$M355-$J355)</f>
        <v/>
      </c>
      <c r="X355" s="12">
        <f>IF(OR($I355="",$U355=""),"",$I355-$U355)</f>
        <v/>
      </c>
      <c r="Y355" s="11">
        <f>IF(OR($T355="",$V355=""),"",$V355-$T355)</f>
        <v/>
      </c>
      <c r="Z355" s="11">
        <f>IF(OR($S355="未発送",$S355="発送済",$S355="査定済",$S355="入金済"),1,0)</f>
        <v/>
      </c>
      <c r="AA355" s="11">
        <f>IF($U355="",0,1)</f>
        <v/>
      </c>
    </row>
    <row r="356">
      <c r="A356" s="8" t="n"/>
      <c r="B356" s="9" t="n"/>
      <c r="C356" s="10" t="n"/>
      <c r="D356" s="9" t="n"/>
      <c r="E356" s="9" t="n"/>
      <c r="F356" s="9" t="n"/>
      <c r="G356" s="4" t="n"/>
      <c r="H356" s="5" t="n"/>
      <c r="I356" s="4" t="n"/>
      <c r="J356" s="4" t="n"/>
      <c r="K356" s="4" t="n"/>
      <c r="L356" s="11">
        <f>IF($G356="","",IF($F356="",1,MAX(1,COUNTIF($F$6:$F$505,$F356)-COUNTIFS($F$6:$F$505,$F356,$S$6:$S$505,"見送り"))))</f>
        <v/>
      </c>
      <c r="M356" s="12">
        <f>IF($G356="","",IF($K356="",'設定'!$C$6,$K356)/$L356)</f>
        <v/>
      </c>
      <c r="N356" s="12">
        <f>IF(OR($G356="",$I356=""),"",$I356-$G356-$M356-$J356)</f>
        <v/>
      </c>
      <c r="O356" s="13">
        <f>IF($N356="","",IF($G356&gt;0,$N356/$G356,0))</f>
        <v/>
      </c>
      <c r="P356" s="12">
        <f>IF($G356="","",$G356*$H356)</f>
        <v/>
      </c>
      <c r="Q356" s="12">
        <f>IF($N356="","",$N356-$I356*'設定'!$C$7)</f>
        <v/>
      </c>
      <c r="R356" s="14">
        <f>IF($N356="","",IF(AND($N356&gt;='設定'!$C$4,$O356&gt;='設定'!$C$5),IF($Q356&gt;=0,"仕入れOK","OK・下落に弱い"),"見送り"))</f>
        <v/>
      </c>
      <c r="S356" s="9" t="n"/>
      <c r="T356" s="8" t="n"/>
      <c r="U356" s="4" t="n"/>
      <c r="V356" s="8" t="n"/>
      <c r="W356" s="12">
        <f>IF(OR($G356="",$U356=""),"",$U356-$G356-$M356-$J356)</f>
        <v/>
      </c>
      <c r="X356" s="12">
        <f>IF(OR($I356="",$U356=""),"",$I356-$U356)</f>
        <v/>
      </c>
      <c r="Y356" s="11">
        <f>IF(OR($T356="",$V356=""),"",$V356-$T356)</f>
        <v/>
      </c>
      <c r="Z356" s="11">
        <f>IF(OR($S356="未発送",$S356="発送済",$S356="査定済",$S356="入金済"),1,0)</f>
        <v/>
      </c>
      <c r="AA356" s="11">
        <f>IF($U356="",0,1)</f>
        <v/>
      </c>
    </row>
    <row r="357">
      <c r="A357" s="8" t="n"/>
      <c r="B357" s="9" t="n"/>
      <c r="C357" s="10" t="n"/>
      <c r="D357" s="9" t="n"/>
      <c r="E357" s="9" t="n"/>
      <c r="F357" s="9" t="n"/>
      <c r="G357" s="4" t="n"/>
      <c r="H357" s="5" t="n"/>
      <c r="I357" s="4" t="n"/>
      <c r="J357" s="4" t="n"/>
      <c r="K357" s="4" t="n"/>
      <c r="L357" s="11">
        <f>IF($G357="","",IF($F357="",1,MAX(1,COUNTIF($F$6:$F$505,$F357)-COUNTIFS($F$6:$F$505,$F357,$S$6:$S$505,"見送り"))))</f>
        <v/>
      </c>
      <c r="M357" s="12">
        <f>IF($G357="","",IF($K357="",'設定'!$C$6,$K357)/$L357)</f>
        <v/>
      </c>
      <c r="N357" s="12">
        <f>IF(OR($G357="",$I357=""),"",$I357-$G357-$M357-$J357)</f>
        <v/>
      </c>
      <c r="O357" s="13">
        <f>IF($N357="","",IF($G357&gt;0,$N357/$G357,0))</f>
        <v/>
      </c>
      <c r="P357" s="12">
        <f>IF($G357="","",$G357*$H357)</f>
        <v/>
      </c>
      <c r="Q357" s="12">
        <f>IF($N357="","",$N357-$I357*'設定'!$C$7)</f>
        <v/>
      </c>
      <c r="R357" s="14">
        <f>IF($N357="","",IF(AND($N357&gt;='設定'!$C$4,$O357&gt;='設定'!$C$5),IF($Q357&gt;=0,"仕入れOK","OK・下落に弱い"),"見送り"))</f>
        <v/>
      </c>
      <c r="S357" s="9" t="n"/>
      <c r="T357" s="8" t="n"/>
      <c r="U357" s="4" t="n"/>
      <c r="V357" s="8" t="n"/>
      <c r="W357" s="12">
        <f>IF(OR($G357="",$U357=""),"",$U357-$G357-$M357-$J357)</f>
        <v/>
      </c>
      <c r="X357" s="12">
        <f>IF(OR($I357="",$U357=""),"",$I357-$U357)</f>
        <v/>
      </c>
      <c r="Y357" s="11">
        <f>IF(OR($T357="",$V357=""),"",$V357-$T357)</f>
        <v/>
      </c>
      <c r="Z357" s="11">
        <f>IF(OR($S357="未発送",$S357="発送済",$S357="査定済",$S357="入金済"),1,0)</f>
        <v/>
      </c>
      <c r="AA357" s="11">
        <f>IF($U357="",0,1)</f>
        <v/>
      </c>
    </row>
    <row r="358">
      <c r="A358" s="8" t="n"/>
      <c r="B358" s="9" t="n"/>
      <c r="C358" s="10" t="n"/>
      <c r="D358" s="9" t="n"/>
      <c r="E358" s="9" t="n"/>
      <c r="F358" s="9" t="n"/>
      <c r="G358" s="4" t="n"/>
      <c r="H358" s="5" t="n"/>
      <c r="I358" s="4" t="n"/>
      <c r="J358" s="4" t="n"/>
      <c r="K358" s="4" t="n"/>
      <c r="L358" s="11">
        <f>IF($G358="","",IF($F358="",1,MAX(1,COUNTIF($F$6:$F$505,$F358)-COUNTIFS($F$6:$F$505,$F358,$S$6:$S$505,"見送り"))))</f>
        <v/>
      </c>
      <c r="M358" s="12">
        <f>IF($G358="","",IF($K358="",'設定'!$C$6,$K358)/$L358)</f>
        <v/>
      </c>
      <c r="N358" s="12">
        <f>IF(OR($G358="",$I358=""),"",$I358-$G358-$M358-$J358)</f>
        <v/>
      </c>
      <c r="O358" s="13">
        <f>IF($N358="","",IF($G358&gt;0,$N358/$G358,0))</f>
        <v/>
      </c>
      <c r="P358" s="12">
        <f>IF($G358="","",$G358*$H358)</f>
        <v/>
      </c>
      <c r="Q358" s="12">
        <f>IF($N358="","",$N358-$I358*'設定'!$C$7)</f>
        <v/>
      </c>
      <c r="R358" s="14">
        <f>IF($N358="","",IF(AND($N358&gt;='設定'!$C$4,$O358&gt;='設定'!$C$5),IF($Q358&gt;=0,"仕入れOK","OK・下落に弱い"),"見送り"))</f>
        <v/>
      </c>
      <c r="S358" s="9" t="n"/>
      <c r="T358" s="8" t="n"/>
      <c r="U358" s="4" t="n"/>
      <c r="V358" s="8" t="n"/>
      <c r="W358" s="12">
        <f>IF(OR($G358="",$U358=""),"",$U358-$G358-$M358-$J358)</f>
        <v/>
      </c>
      <c r="X358" s="12">
        <f>IF(OR($I358="",$U358=""),"",$I358-$U358)</f>
        <v/>
      </c>
      <c r="Y358" s="11">
        <f>IF(OR($T358="",$V358=""),"",$V358-$T358)</f>
        <v/>
      </c>
      <c r="Z358" s="11">
        <f>IF(OR($S358="未発送",$S358="発送済",$S358="査定済",$S358="入金済"),1,0)</f>
        <v/>
      </c>
      <c r="AA358" s="11">
        <f>IF($U358="",0,1)</f>
        <v/>
      </c>
    </row>
    <row r="359">
      <c r="A359" s="8" t="n"/>
      <c r="B359" s="9" t="n"/>
      <c r="C359" s="10" t="n"/>
      <c r="D359" s="9" t="n"/>
      <c r="E359" s="9" t="n"/>
      <c r="F359" s="9" t="n"/>
      <c r="G359" s="4" t="n"/>
      <c r="H359" s="5" t="n"/>
      <c r="I359" s="4" t="n"/>
      <c r="J359" s="4" t="n"/>
      <c r="K359" s="4" t="n"/>
      <c r="L359" s="11">
        <f>IF($G359="","",IF($F359="",1,MAX(1,COUNTIF($F$6:$F$505,$F359)-COUNTIFS($F$6:$F$505,$F359,$S$6:$S$505,"見送り"))))</f>
        <v/>
      </c>
      <c r="M359" s="12">
        <f>IF($G359="","",IF($K359="",'設定'!$C$6,$K359)/$L359)</f>
        <v/>
      </c>
      <c r="N359" s="12">
        <f>IF(OR($G359="",$I359=""),"",$I359-$G359-$M359-$J359)</f>
        <v/>
      </c>
      <c r="O359" s="13">
        <f>IF($N359="","",IF($G359&gt;0,$N359/$G359,0))</f>
        <v/>
      </c>
      <c r="P359" s="12">
        <f>IF($G359="","",$G359*$H359)</f>
        <v/>
      </c>
      <c r="Q359" s="12">
        <f>IF($N359="","",$N359-$I359*'設定'!$C$7)</f>
        <v/>
      </c>
      <c r="R359" s="14">
        <f>IF($N359="","",IF(AND($N359&gt;='設定'!$C$4,$O359&gt;='設定'!$C$5),IF($Q359&gt;=0,"仕入れOK","OK・下落に弱い"),"見送り"))</f>
        <v/>
      </c>
      <c r="S359" s="9" t="n"/>
      <c r="T359" s="8" t="n"/>
      <c r="U359" s="4" t="n"/>
      <c r="V359" s="8" t="n"/>
      <c r="W359" s="12">
        <f>IF(OR($G359="",$U359=""),"",$U359-$G359-$M359-$J359)</f>
        <v/>
      </c>
      <c r="X359" s="12">
        <f>IF(OR($I359="",$U359=""),"",$I359-$U359)</f>
        <v/>
      </c>
      <c r="Y359" s="11">
        <f>IF(OR($T359="",$V359=""),"",$V359-$T359)</f>
        <v/>
      </c>
      <c r="Z359" s="11">
        <f>IF(OR($S359="未発送",$S359="発送済",$S359="査定済",$S359="入金済"),1,0)</f>
        <v/>
      </c>
      <c r="AA359" s="11">
        <f>IF($U359="",0,1)</f>
        <v/>
      </c>
    </row>
    <row r="360">
      <c r="A360" s="8" t="n"/>
      <c r="B360" s="9" t="n"/>
      <c r="C360" s="10" t="n"/>
      <c r="D360" s="9" t="n"/>
      <c r="E360" s="9" t="n"/>
      <c r="F360" s="9" t="n"/>
      <c r="G360" s="4" t="n"/>
      <c r="H360" s="5" t="n"/>
      <c r="I360" s="4" t="n"/>
      <c r="J360" s="4" t="n"/>
      <c r="K360" s="4" t="n"/>
      <c r="L360" s="11">
        <f>IF($G360="","",IF($F360="",1,MAX(1,COUNTIF($F$6:$F$505,$F360)-COUNTIFS($F$6:$F$505,$F360,$S$6:$S$505,"見送り"))))</f>
        <v/>
      </c>
      <c r="M360" s="12">
        <f>IF($G360="","",IF($K360="",'設定'!$C$6,$K360)/$L360)</f>
        <v/>
      </c>
      <c r="N360" s="12">
        <f>IF(OR($G360="",$I360=""),"",$I360-$G360-$M360-$J360)</f>
        <v/>
      </c>
      <c r="O360" s="13">
        <f>IF($N360="","",IF($G360&gt;0,$N360/$G360,0))</f>
        <v/>
      </c>
      <c r="P360" s="12">
        <f>IF($G360="","",$G360*$H360)</f>
        <v/>
      </c>
      <c r="Q360" s="12">
        <f>IF($N360="","",$N360-$I360*'設定'!$C$7)</f>
        <v/>
      </c>
      <c r="R360" s="14">
        <f>IF($N360="","",IF(AND($N360&gt;='設定'!$C$4,$O360&gt;='設定'!$C$5),IF($Q360&gt;=0,"仕入れOK","OK・下落に弱い"),"見送り"))</f>
        <v/>
      </c>
      <c r="S360" s="9" t="n"/>
      <c r="T360" s="8" t="n"/>
      <c r="U360" s="4" t="n"/>
      <c r="V360" s="8" t="n"/>
      <c r="W360" s="12">
        <f>IF(OR($G360="",$U360=""),"",$U360-$G360-$M360-$J360)</f>
        <v/>
      </c>
      <c r="X360" s="12">
        <f>IF(OR($I360="",$U360=""),"",$I360-$U360)</f>
        <v/>
      </c>
      <c r="Y360" s="11">
        <f>IF(OR($T360="",$V360=""),"",$V360-$T360)</f>
        <v/>
      </c>
      <c r="Z360" s="11">
        <f>IF(OR($S360="未発送",$S360="発送済",$S360="査定済",$S360="入金済"),1,0)</f>
        <v/>
      </c>
      <c r="AA360" s="11">
        <f>IF($U360="",0,1)</f>
        <v/>
      </c>
    </row>
    <row r="361">
      <c r="A361" s="8" t="n"/>
      <c r="B361" s="9" t="n"/>
      <c r="C361" s="10" t="n"/>
      <c r="D361" s="9" t="n"/>
      <c r="E361" s="9" t="n"/>
      <c r="F361" s="9" t="n"/>
      <c r="G361" s="4" t="n"/>
      <c r="H361" s="5" t="n"/>
      <c r="I361" s="4" t="n"/>
      <c r="J361" s="4" t="n"/>
      <c r="K361" s="4" t="n"/>
      <c r="L361" s="11">
        <f>IF($G361="","",IF($F361="",1,MAX(1,COUNTIF($F$6:$F$505,$F361)-COUNTIFS($F$6:$F$505,$F361,$S$6:$S$505,"見送り"))))</f>
        <v/>
      </c>
      <c r="M361" s="12">
        <f>IF($G361="","",IF($K361="",'設定'!$C$6,$K361)/$L361)</f>
        <v/>
      </c>
      <c r="N361" s="12">
        <f>IF(OR($G361="",$I361=""),"",$I361-$G361-$M361-$J361)</f>
        <v/>
      </c>
      <c r="O361" s="13">
        <f>IF($N361="","",IF($G361&gt;0,$N361/$G361,0))</f>
        <v/>
      </c>
      <c r="P361" s="12">
        <f>IF($G361="","",$G361*$H361)</f>
        <v/>
      </c>
      <c r="Q361" s="12">
        <f>IF($N361="","",$N361-$I361*'設定'!$C$7)</f>
        <v/>
      </c>
      <c r="R361" s="14">
        <f>IF($N361="","",IF(AND($N361&gt;='設定'!$C$4,$O361&gt;='設定'!$C$5),IF($Q361&gt;=0,"仕入れOK","OK・下落に弱い"),"見送り"))</f>
        <v/>
      </c>
      <c r="S361" s="9" t="n"/>
      <c r="T361" s="8" t="n"/>
      <c r="U361" s="4" t="n"/>
      <c r="V361" s="8" t="n"/>
      <c r="W361" s="12">
        <f>IF(OR($G361="",$U361=""),"",$U361-$G361-$M361-$J361)</f>
        <v/>
      </c>
      <c r="X361" s="12">
        <f>IF(OR($I361="",$U361=""),"",$I361-$U361)</f>
        <v/>
      </c>
      <c r="Y361" s="11">
        <f>IF(OR($T361="",$V361=""),"",$V361-$T361)</f>
        <v/>
      </c>
      <c r="Z361" s="11">
        <f>IF(OR($S361="未発送",$S361="発送済",$S361="査定済",$S361="入金済"),1,0)</f>
        <v/>
      </c>
      <c r="AA361" s="11">
        <f>IF($U361="",0,1)</f>
        <v/>
      </c>
    </row>
    <row r="362">
      <c r="A362" s="8" t="n"/>
      <c r="B362" s="9" t="n"/>
      <c r="C362" s="10" t="n"/>
      <c r="D362" s="9" t="n"/>
      <c r="E362" s="9" t="n"/>
      <c r="F362" s="9" t="n"/>
      <c r="G362" s="4" t="n"/>
      <c r="H362" s="5" t="n"/>
      <c r="I362" s="4" t="n"/>
      <c r="J362" s="4" t="n"/>
      <c r="K362" s="4" t="n"/>
      <c r="L362" s="11">
        <f>IF($G362="","",IF($F362="",1,MAX(1,COUNTIF($F$6:$F$505,$F362)-COUNTIFS($F$6:$F$505,$F362,$S$6:$S$505,"見送り"))))</f>
        <v/>
      </c>
      <c r="M362" s="12">
        <f>IF($G362="","",IF($K362="",'設定'!$C$6,$K362)/$L362)</f>
        <v/>
      </c>
      <c r="N362" s="12">
        <f>IF(OR($G362="",$I362=""),"",$I362-$G362-$M362-$J362)</f>
        <v/>
      </c>
      <c r="O362" s="13">
        <f>IF($N362="","",IF($G362&gt;0,$N362/$G362,0))</f>
        <v/>
      </c>
      <c r="P362" s="12">
        <f>IF($G362="","",$G362*$H362)</f>
        <v/>
      </c>
      <c r="Q362" s="12">
        <f>IF($N362="","",$N362-$I362*'設定'!$C$7)</f>
        <v/>
      </c>
      <c r="R362" s="14">
        <f>IF($N362="","",IF(AND($N362&gt;='設定'!$C$4,$O362&gt;='設定'!$C$5),IF($Q362&gt;=0,"仕入れOK","OK・下落に弱い"),"見送り"))</f>
        <v/>
      </c>
      <c r="S362" s="9" t="n"/>
      <c r="T362" s="8" t="n"/>
      <c r="U362" s="4" t="n"/>
      <c r="V362" s="8" t="n"/>
      <c r="W362" s="12">
        <f>IF(OR($G362="",$U362=""),"",$U362-$G362-$M362-$J362)</f>
        <v/>
      </c>
      <c r="X362" s="12">
        <f>IF(OR($I362="",$U362=""),"",$I362-$U362)</f>
        <v/>
      </c>
      <c r="Y362" s="11">
        <f>IF(OR($T362="",$V362=""),"",$V362-$T362)</f>
        <v/>
      </c>
      <c r="Z362" s="11">
        <f>IF(OR($S362="未発送",$S362="発送済",$S362="査定済",$S362="入金済"),1,0)</f>
        <v/>
      </c>
      <c r="AA362" s="11">
        <f>IF($U362="",0,1)</f>
        <v/>
      </c>
    </row>
    <row r="363">
      <c r="A363" s="8" t="n"/>
      <c r="B363" s="9" t="n"/>
      <c r="C363" s="10" t="n"/>
      <c r="D363" s="9" t="n"/>
      <c r="E363" s="9" t="n"/>
      <c r="F363" s="9" t="n"/>
      <c r="G363" s="4" t="n"/>
      <c r="H363" s="5" t="n"/>
      <c r="I363" s="4" t="n"/>
      <c r="J363" s="4" t="n"/>
      <c r="K363" s="4" t="n"/>
      <c r="L363" s="11">
        <f>IF($G363="","",IF($F363="",1,MAX(1,COUNTIF($F$6:$F$505,$F363)-COUNTIFS($F$6:$F$505,$F363,$S$6:$S$505,"見送り"))))</f>
        <v/>
      </c>
      <c r="M363" s="12">
        <f>IF($G363="","",IF($K363="",'設定'!$C$6,$K363)/$L363)</f>
        <v/>
      </c>
      <c r="N363" s="12">
        <f>IF(OR($G363="",$I363=""),"",$I363-$G363-$M363-$J363)</f>
        <v/>
      </c>
      <c r="O363" s="13">
        <f>IF($N363="","",IF($G363&gt;0,$N363/$G363,0))</f>
        <v/>
      </c>
      <c r="P363" s="12">
        <f>IF($G363="","",$G363*$H363)</f>
        <v/>
      </c>
      <c r="Q363" s="12">
        <f>IF($N363="","",$N363-$I363*'設定'!$C$7)</f>
        <v/>
      </c>
      <c r="R363" s="14">
        <f>IF($N363="","",IF(AND($N363&gt;='設定'!$C$4,$O363&gt;='設定'!$C$5),IF($Q363&gt;=0,"仕入れOK","OK・下落に弱い"),"見送り"))</f>
        <v/>
      </c>
      <c r="S363" s="9" t="n"/>
      <c r="T363" s="8" t="n"/>
      <c r="U363" s="4" t="n"/>
      <c r="V363" s="8" t="n"/>
      <c r="W363" s="12">
        <f>IF(OR($G363="",$U363=""),"",$U363-$G363-$M363-$J363)</f>
        <v/>
      </c>
      <c r="X363" s="12">
        <f>IF(OR($I363="",$U363=""),"",$I363-$U363)</f>
        <v/>
      </c>
      <c r="Y363" s="11">
        <f>IF(OR($T363="",$V363=""),"",$V363-$T363)</f>
        <v/>
      </c>
      <c r="Z363" s="11">
        <f>IF(OR($S363="未発送",$S363="発送済",$S363="査定済",$S363="入金済"),1,0)</f>
        <v/>
      </c>
      <c r="AA363" s="11">
        <f>IF($U363="",0,1)</f>
        <v/>
      </c>
    </row>
    <row r="364">
      <c r="A364" s="8" t="n"/>
      <c r="B364" s="9" t="n"/>
      <c r="C364" s="10" t="n"/>
      <c r="D364" s="9" t="n"/>
      <c r="E364" s="9" t="n"/>
      <c r="F364" s="9" t="n"/>
      <c r="G364" s="4" t="n"/>
      <c r="H364" s="5" t="n"/>
      <c r="I364" s="4" t="n"/>
      <c r="J364" s="4" t="n"/>
      <c r="K364" s="4" t="n"/>
      <c r="L364" s="11">
        <f>IF($G364="","",IF($F364="",1,MAX(1,COUNTIF($F$6:$F$505,$F364)-COUNTIFS($F$6:$F$505,$F364,$S$6:$S$505,"見送り"))))</f>
        <v/>
      </c>
      <c r="M364" s="12">
        <f>IF($G364="","",IF($K364="",'設定'!$C$6,$K364)/$L364)</f>
        <v/>
      </c>
      <c r="N364" s="12">
        <f>IF(OR($G364="",$I364=""),"",$I364-$G364-$M364-$J364)</f>
        <v/>
      </c>
      <c r="O364" s="13">
        <f>IF($N364="","",IF($G364&gt;0,$N364/$G364,0))</f>
        <v/>
      </c>
      <c r="P364" s="12">
        <f>IF($G364="","",$G364*$H364)</f>
        <v/>
      </c>
      <c r="Q364" s="12">
        <f>IF($N364="","",$N364-$I364*'設定'!$C$7)</f>
        <v/>
      </c>
      <c r="R364" s="14">
        <f>IF($N364="","",IF(AND($N364&gt;='設定'!$C$4,$O364&gt;='設定'!$C$5),IF($Q364&gt;=0,"仕入れOK","OK・下落に弱い"),"見送り"))</f>
        <v/>
      </c>
      <c r="S364" s="9" t="n"/>
      <c r="T364" s="8" t="n"/>
      <c r="U364" s="4" t="n"/>
      <c r="V364" s="8" t="n"/>
      <c r="W364" s="12">
        <f>IF(OR($G364="",$U364=""),"",$U364-$G364-$M364-$J364)</f>
        <v/>
      </c>
      <c r="X364" s="12">
        <f>IF(OR($I364="",$U364=""),"",$I364-$U364)</f>
        <v/>
      </c>
      <c r="Y364" s="11">
        <f>IF(OR($T364="",$V364=""),"",$V364-$T364)</f>
        <v/>
      </c>
      <c r="Z364" s="11">
        <f>IF(OR($S364="未発送",$S364="発送済",$S364="査定済",$S364="入金済"),1,0)</f>
        <v/>
      </c>
      <c r="AA364" s="11">
        <f>IF($U364="",0,1)</f>
        <v/>
      </c>
    </row>
    <row r="365">
      <c r="A365" s="8" t="n"/>
      <c r="B365" s="9" t="n"/>
      <c r="C365" s="10" t="n"/>
      <c r="D365" s="9" t="n"/>
      <c r="E365" s="9" t="n"/>
      <c r="F365" s="9" t="n"/>
      <c r="G365" s="4" t="n"/>
      <c r="H365" s="5" t="n"/>
      <c r="I365" s="4" t="n"/>
      <c r="J365" s="4" t="n"/>
      <c r="K365" s="4" t="n"/>
      <c r="L365" s="11">
        <f>IF($G365="","",IF($F365="",1,MAX(1,COUNTIF($F$6:$F$505,$F365)-COUNTIFS($F$6:$F$505,$F365,$S$6:$S$505,"見送り"))))</f>
        <v/>
      </c>
      <c r="M365" s="12">
        <f>IF($G365="","",IF($K365="",'設定'!$C$6,$K365)/$L365)</f>
        <v/>
      </c>
      <c r="N365" s="12">
        <f>IF(OR($G365="",$I365=""),"",$I365-$G365-$M365-$J365)</f>
        <v/>
      </c>
      <c r="O365" s="13">
        <f>IF($N365="","",IF($G365&gt;0,$N365/$G365,0))</f>
        <v/>
      </c>
      <c r="P365" s="12">
        <f>IF($G365="","",$G365*$H365)</f>
        <v/>
      </c>
      <c r="Q365" s="12">
        <f>IF($N365="","",$N365-$I365*'設定'!$C$7)</f>
        <v/>
      </c>
      <c r="R365" s="14">
        <f>IF($N365="","",IF(AND($N365&gt;='設定'!$C$4,$O365&gt;='設定'!$C$5),IF($Q365&gt;=0,"仕入れOK","OK・下落に弱い"),"見送り"))</f>
        <v/>
      </c>
      <c r="S365" s="9" t="n"/>
      <c r="T365" s="8" t="n"/>
      <c r="U365" s="4" t="n"/>
      <c r="V365" s="8" t="n"/>
      <c r="W365" s="12">
        <f>IF(OR($G365="",$U365=""),"",$U365-$G365-$M365-$J365)</f>
        <v/>
      </c>
      <c r="X365" s="12">
        <f>IF(OR($I365="",$U365=""),"",$I365-$U365)</f>
        <v/>
      </c>
      <c r="Y365" s="11">
        <f>IF(OR($T365="",$V365=""),"",$V365-$T365)</f>
        <v/>
      </c>
      <c r="Z365" s="11">
        <f>IF(OR($S365="未発送",$S365="発送済",$S365="査定済",$S365="入金済"),1,0)</f>
        <v/>
      </c>
      <c r="AA365" s="11">
        <f>IF($U365="",0,1)</f>
        <v/>
      </c>
    </row>
    <row r="366">
      <c r="A366" s="8" t="n"/>
      <c r="B366" s="9" t="n"/>
      <c r="C366" s="10" t="n"/>
      <c r="D366" s="9" t="n"/>
      <c r="E366" s="9" t="n"/>
      <c r="F366" s="9" t="n"/>
      <c r="G366" s="4" t="n"/>
      <c r="H366" s="5" t="n"/>
      <c r="I366" s="4" t="n"/>
      <c r="J366" s="4" t="n"/>
      <c r="K366" s="4" t="n"/>
      <c r="L366" s="11">
        <f>IF($G366="","",IF($F366="",1,MAX(1,COUNTIF($F$6:$F$505,$F366)-COUNTIFS($F$6:$F$505,$F366,$S$6:$S$505,"見送り"))))</f>
        <v/>
      </c>
      <c r="M366" s="12">
        <f>IF($G366="","",IF($K366="",'設定'!$C$6,$K366)/$L366)</f>
        <v/>
      </c>
      <c r="N366" s="12">
        <f>IF(OR($G366="",$I366=""),"",$I366-$G366-$M366-$J366)</f>
        <v/>
      </c>
      <c r="O366" s="13">
        <f>IF($N366="","",IF($G366&gt;0,$N366/$G366,0))</f>
        <v/>
      </c>
      <c r="P366" s="12">
        <f>IF($G366="","",$G366*$H366)</f>
        <v/>
      </c>
      <c r="Q366" s="12">
        <f>IF($N366="","",$N366-$I366*'設定'!$C$7)</f>
        <v/>
      </c>
      <c r="R366" s="14">
        <f>IF($N366="","",IF(AND($N366&gt;='設定'!$C$4,$O366&gt;='設定'!$C$5),IF($Q366&gt;=0,"仕入れOK","OK・下落に弱い"),"見送り"))</f>
        <v/>
      </c>
      <c r="S366" s="9" t="n"/>
      <c r="T366" s="8" t="n"/>
      <c r="U366" s="4" t="n"/>
      <c r="V366" s="8" t="n"/>
      <c r="W366" s="12">
        <f>IF(OR($G366="",$U366=""),"",$U366-$G366-$M366-$J366)</f>
        <v/>
      </c>
      <c r="X366" s="12">
        <f>IF(OR($I366="",$U366=""),"",$I366-$U366)</f>
        <v/>
      </c>
      <c r="Y366" s="11">
        <f>IF(OR($T366="",$V366=""),"",$V366-$T366)</f>
        <v/>
      </c>
      <c r="Z366" s="11">
        <f>IF(OR($S366="未発送",$S366="発送済",$S366="査定済",$S366="入金済"),1,0)</f>
        <v/>
      </c>
      <c r="AA366" s="11">
        <f>IF($U366="",0,1)</f>
        <v/>
      </c>
    </row>
    <row r="367">
      <c r="A367" s="8" t="n"/>
      <c r="B367" s="9" t="n"/>
      <c r="C367" s="10" t="n"/>
      <c r="D367" s="9" t="n"/>
      <c r="E367" s="9" t="n"/>
      <c r="F367" s="9" t="n"/>
      <c r="G367" s="4" t="n"/>
      <c r="H367" s="5" t="n"/>
      <c r="I367" s="4" t="n"/>
      <c r="J367" s="4" t="n"/>
      <c r="K367" s="4" t="n"/>
      <c r="L367" s="11">
        <f>IF($G367="","",IF($F367="",1,MAX(1,COUNTIF($F$6:$F$505,$F367)-COUNTIFS($F$6:$F$505,$F367,$S$6:$S$505,"見送り"))))</f>
        <v/>
      </c>
      <c r="M367" s="12">
        <f>IF($G367="","",IF($K367="",'設定'!$C$6,$K367)/$L367)</f>
        <v/>
      </c>
      <c r="N367" s="12">
        <f>IF(OR($G367="",$I367=""),"",$I367-$G367-$M367-$J367)</f>
        <v/>
      </c>
      <c r="O367" s="13">
        <f>IF($N367="","",IF($G367&gt;0,$N367/$G367,0))</f>
        <v/>
      </c>
      <c r="P367" s="12">
        <f>IF($G367="","",$G367*$H367)</f>
        <v/>
      </c>
      <c r="Q367" s="12">
        <f>IF($N367="","",$N367-$I367*'設定'!$C$7)</f>
        <v/>
      </c>
      <c r="R367" s="14">
        <f>IF($N367="","",IF(AND($N367&gt;='設定'!$C$4,$O367&gt;='設定'!$C$5),IF($Q367&gt;=0,"仕入れOK","OK・下落に弱い"),"見送り"))</f>
        <v/>
      </c>
      <c r="S367" s="9" t="n"/>
      <c r="T367" s="8" t="n"/>
      <c r="U367" s="4" t="n"/>
      <c r="V367" s="8" t="n"/>
      <c r="W367" s="12">
        <f>IF(OR($G367="",$U367=""),"",$U367-$G367-$M367-$J367)</f>
        <v/>
      </c>
      <c r="X367" s="12">
        <f>IF(OR($I367="",$U367=""),"",$I367-$U367)</f>
        <v/>
      </c>
      <c r="Y367" s="11">
        <f>IF(OR($T367="",$V367=""),"",$V367-$T367)</f>
        <v/>
      </c>
      <c r="Z367" s="11">
        <f>IF(OR($S367="未発送",$S367="発送済",$S367="査定済",$S367="入金済"),1,0)</f>
        <v/>
      </c>
      <c r="AA367" s="11">
        <f>IF($U367="",0,1)</f>
        <v/>
      </c>
    </row>
    <row r="368">
      <c r="A368" s="8" t="n"/>
      <c r="B368" s="9" t="n"/>
      <c r="C368" s="10" t="n"/>
      <c r="D368" s="9" t="n"/>
      <c r="E368" s="9" t="n"/>
      <c r="F368" s="9" t="n"/>
      <c r="G368" s="4" t="n"/>
      <c r="H368" s="5" t="n"/>
      <c r="I368" s="4" t="n"/>
      <c r="J368" s="4" t="n"/>
      <c r="K368" s="4" t="n"/>
      <c r="L368" s="11">
        <f>IF($G368="","",IF($F368="",1,MAX(1,COUNTIF($F$6:$F$505,$F368)-COUNTIFS($F$6:$F$505,$F368,$S$6:$S$505,"見送り"))))</f>
        <v/>
      </c>
      <c r="M368" s="12">
        <f>IF($G368="","",IF($K368="",'設定'!$C$6,$K368)/$L368)</f>
        <v/>
      </c>
      <c r="N368" s="12">
        <f>IF(OR($G368="",$I368=""),"",$I368-$G368-$M368-$J368)</f>
        <v/>
      </c>
      <c r="O368" s="13">
        <f>IF($N368="","",IF($G368&gt;0,$N368/$G368,0))</f>
        <v/>
      </c>
      <c r="P368" s="12">
        <f>IF($G368="","",$G368*$H368)</f>
        <v/>
      </c>
      <c r="Q368" s="12">
        <f>IF($N368="","",$N368-$I368*'設定'!$C$7)</f>
        <v/>
      </c>
      <c r="R368" s="14">
        <f>IF($N368="","",IF(AND($N368&gt;='設定'!$C$4,$O368&gt;='設定'!$C$5),IF($Q368&gt;=0,"仕入れOK","OK・下落に弱い"),"見送り"))</f>
        <v/>
      </c>
      <c r="S368" s="9" t="n"/>
      <c r="T368" s="8" t="n"/>
      <c r="U368" s="4" t="n"/>
      <c r="V368" s="8" t="n"/>
      <c r="W368" s="12">
        <f>IF(OR($G368="",$U368=""),"",$U368-$G368-$M368-$J368)</f>
        <v/>
      </c>
      <c r="X368" s="12">
        <f>IF(OR($I368="",$U368=""),"",$I368-$U368)</f>
        <v/>
      </c>
      <c r="Y368" s="11">
        <f>IF(OR($T368="",$V368=""),"",$V368-$T368)</f>
        <v/>
      </c>
      <c r="Z368" s="11">
        <f>IF(OR($S368="未発送",$S368="発送済",$S368="査定済",$S368="入金済"),1,0)</f>
        <v/>
      </c>
      <c r="AA368" s="11">
        <f>IF($U368="",0,1)</f>
        <v/>
      </c>
    </row>
    <row r="369">
      <c r="A369" s="8" t="n"/>
      <c r="B369" s="9" t="n"/>
      <c r="C369" s="10" t="n"/>
      <c r="D369" s="9" t="n"/>
      <c r="E369" s="9" t="n"/>
      <c r="F369" s="9" t="n"/>
      <c r="G369" s="4" t="n"/>
      <c r="H369" s="5" t="n"/>
      <c r="I369" s="4" t="n"/>
      <c r="J369" s="4" t="n"/>
      <c r="K369" s="4" t="n"/>
      <c r="L369" s="11">
        <f>IF($G369="","",IF($F369="",1,MAX(1,COUNTIF($F$6:$F$505,$F369)-COUNTIFS($F$6:$F$505,$F369,$S$6:$S$505,"見送り"))))</f>
        <v/>
      </c>
      <c r="M369" s="12">
        <f>IF($G369="","",IF($K369="",'設定'!$C$6,$K369)/$L369)</f>
        <v/>
      </c>
      <c r="N369" s="12">
        <f>IF(OR($G369="",$I369=""),"",$I369-$G369-$M369-$J369)</f>
        <v/>
      </c>
      <c r="O369" s="13">
        <f>IF($N369="","",IF($G369&gt;0,$N369/$G369,0))</f>
        <v/>
      </c>
      <c r="P369" s="12">
        <f>IF($G369="","",$G369*$H369)</f>
        <v/>
      </c>
      <c r="Q369" s="12">
        <f>IF($N369="","",$N369-$I369*'設定'!$C$7)</f>
        <v/>
      </c>
      <c r="R369" s="14">
        <f>IF($N369="","",IF(AND($N369&gt;='設定'!$C$4,$O369&gt;='設定'!$C$5),IF($Q369&gt;=0,"仕入れOK","OK・下落に弱い"),"見送り"))</f>
        <v/>
      </c>
      <c r="S369" s="9" t="n"/>
      <c r="T369" s="8" t="n"/>
      <c r="U369" s="4" t="n"/>
      <c r="V369" s="8" t="n"/>
      <c r="W369" s="12">
        <f>IF(OR($G369="",$U369=""),"",$U369-$G369-$M369-$J369)</f>
        <v/>
      </c>
      <c r="X369" s="12">
        <f>IF(OR($I369="",$U369=""),"",$I369-$U369)</f>
        <v/>
      </c>
      <c r="Y369" s="11">
        <f>IF(OR($T369="",$V369=""),"",$V369-$T369)</f>
        <v/>
      </c>
      <c r="Z369" s="11">
        <f>IF(OR($S369="未発送",$S369="発送済",$S369="査定済",$S369="入金済"),1,0)</f>
        <v/>
      </c>
      <c r="AA369" s="11">
        <f>IF($U369="",0,1)</f>
        <v/>
      </c>
    </row>
    <row r="370">
      <c r="A370" s="8" t="n"/>
      <c r="B370" s="9" t="n"/>
      <c r="C370" s="10" t="n"/>
      <c r="D370" s="9" t="n"/>
      <c r="E370" s="9" t="n"/>
      <c r="F370" s="9" t="n"/>
      <c r="G370" s="4" t="n"/>
      <c r="H370" s="5" t="n"/>
      <c r="I370" s="4" t="n"/>
      <c r="J370" s="4" t="n"/>
      <c r="K370" s="4" t="n"/>
      <c r="L370" s="11">
        <f>IF($G370="","",IF($F370="",1,MAX(1,COUNTIF($F$6:$F$505,$F370)-COUNTIFS($F$6:$F$505,$F370,$S$6:$S$505,"見送り"))))</f>
        <v/>
      </c>
      <c r="M370" s="12">
        <f>IF($G370="","",IF($K370="",'設定'!$C$6,$K370)/$L370)</f>
        <v/>
      </c>
      <c r="N370" s="12">
        <f>IF(OR($G370="",$I370=""),"",$I370-$G370-$M370-$J370)</f>
        <v/>
      </c>
      <c r="O370" s="13">
        <f>IF($N370="","",IF($G370&gt;0,$N370/$G370,0))</f>
        <v/>
      </c>
      <c r="P370" s="12">
        <f>IF($G370="","",$G370*$H370)</f>
        <v/>
      </c>
      <c r="Q370" s="12">
        <f>IF($N370="","",$N370-$I370*'設定'!$C$7)</f>
        <v/>
      </c>
      <c r="R370" s="14">
        <f>IF($N370="","",IF(AND($N370&gt;='設定'!$C$4,$O370&gt;='設定'!$C$5),IF($Q370&gt;=0,"仕入れOK","OK・下落に弱い"),"見送り"))</f>
        <v/>
      </c>
      <c r="S370" s="9" t="n"/>
      <c r="T370" s="8" t="n"/>
      <c r="U370" s="4" t="n"/>
      <c r="V370" s="8" t="n"/>
      <c r="W370" s="12">
        <f>IF(OR($G370="",$U370=""),"",$U370-$G370-$M370-$J370)</f>
        <v/>
      </c>
      <c r="X370" s="12">
        <f>IF(OR($I370="",$U370=""),"",$I370-$U370)</f>
        <v/>
      </c>
      <c r="Y370" s="11">
        <f>IF(OR($T370="",$V370=""),"",$V370-$T370)</f>
        <v/>
      </c>
      <c r="Z370" s="11">
        <f>IF(OR($S370="未発送",$S370="発送済",$S370="査定済",$S370="入金済"),1,0)</f>
        <v/>
      </c>
      <c r="AA370" s="11">
        <f>IF($U370="",0,1)</f>
        <v/>
      </c>
    </row>
    <row r="371">
      <c r="A371" s="8" t="n"/>
      <c r="B371" s="9" t="n"/>
      <c r="C371" s="10" t="n"/>
      <c r="D371" s="9" t="n"/>
      <c r="E371" s="9" t="n"/>
      <c r="F371" s="9" t="n"/>
      <c r="G371" s="4" t="n"/>
      <c r="H371" s="5" t="n"/>
      <c r="I371" s="4" t="n"/>
      <c r="J371" s="4" t="n"/>
      <c r="K371" s="4" t="n"/>
      <c r="L371" s="11">
        <f>IF($G371="","",IF($F371="",1,MAX(1,COUNTIF($F$6:$F$505,$F371)-COUNTIFS($F$6:$F$505,$F371,$S$6:$S$505,"見送り"))))</f>
        <v/>
      </c>
      <c r="M371" s="12">
        <f>IF($G371="","",IF($K371="",'設定'!$C$6,$K371)/$L371)</f>
        <v/>
      </c>
      <c r="N371" s="12">
        <f>IF(OR($G371="",$I371=""),"",$I371-$G371-$M371-$J371)</f>
        <v/>
      </c>
      <c r="O371" s="13">
        <f>IF($N371="","",IF($G371&gt;0,$N371/$G371,0))</f>
        <v/>
      </c>
      <c r="P371" s="12">
        <f>IF($G371="","",$G371*$H371)</f>
        <v/>
      </c>
      <c r="Q371" s="12">
        <f>IF($N371="","",$N371-$I371*'設定'!$C$7)</f>
        <v/>
      </c>
      <c r="R371" s="14">
        <f>IF($N371="","",IF(AND($N371&gt;='設定'!$C$4,$O371&gt;='設定'!$C$5),IF($Q371&gt;=0,"仕入れOK","OK・下落に弱い"),"見送り"))</f>
        <v/>
      </c>
      <c r="S371" s="9" t="n"/>
      <c r="T371" s="8" t="n"/>
      <c r="U371" s="4" t="n"/>
      <c r="V371" s="8" t="n"/>
      <c r="W371" s="12">
        <f>IF(OR($G371="",$U371=""),"",$U371-$G371-$M371-$J371)</f>
        <v/>
      </c>
      <c r="X371" s="12">
        <f>IF(OR($I371="",$U371=""),"",$I371-$U371)</f>
        <v/>
      </c>
      <c r="Y371" s="11">
        <f>IF(OR($T371="",$V371=""),"",$V371-$T371)</f>
        <v/>
      </c>
      <c r="Z371" s="11">
        <f>IF(OR($S371="未発送",$S371="発送済",$S371="査定済",$S371="入金済"),1,0)</f>
        <v/>
      </c>
      <c r="AA371" s="11">
        <f>IF($U371="",0,1)</f>
        <v/>
      </c>
    </row>
    <row r="372">
      <c r="A372" s="8" t="n"/>
      <c r="B372" s="9" t="n"/>
      <c r="C372" s="10" t="n"/>
      <c r="D372" s="9" t="n"/>
      <c r="E372" s="9" t="n"/>
      <c r="F372" s="9" t="n"/>
      <c r="G372" s="4" t="n"/>
      <c r="H372" s="5" t="n"/>
      <c r="I372" s="4" t="n"/>
      <c r="J372" s="4" t="n"/>
      <c r="K372" s="4" t="n"/>
      <c r="L372" s="11">
        <f>IF($G372="","",IF($F372="",1,MAX(1,COUNTIF($F$6:$F$505,$F372)-COUNTIFS($F$6:$F$505,$F372,$S$6:$S$505,"見送り"))))</f>
        <v/>
      </c>
      <c r="M372" s="12">
        <f>IF($G372="","",IF($K372="",'設定'!$C$6,$K372)/$L372)</f>
        <v/>
      </c>
      <c r="N372" s="12">
        <f>IF(OR($G372="",$I372=""),"",$I372-$G372-$M372-$J372)</f>
        <v/>
      </c>
      <c r="O372" s="13">
        <f>IF($N372="","",IF($G372&gt;0,$N372/$G372,0))</f>
        <v/>
      </c>
      <c r="P372" s="12">
        <f>IF($G372="","",$G372*$H372)</f>
        <v/>
      </c>
      <c r="Q372" s="12">
        <f>IF($N372="","",$N372-$I372*'設定'!$C$7)</f>
        <v/>
      </c>
      <c r="R372" s="14">
        <f>IF($N372="","",IF(AND($N372&gt;='設定'!$C$4,$O372&gt;='設定'!$C$5),IF($Q372&gt;=0,"仕入れOK","OK・下落に弱い"),"見送り"))</f>
        <v/>
      </c>
      <c r="S372" s="9" t="n"/>
      <c r="T372" s="8" t="n"/>
      <c r="U372" s="4" t="n"/>
      <c r="V372" s="8" t="n"/>
      <c r="W372" s="12">
        <f>IF(OR($G372="",$U372=""),"",$U372-$G372-$M372-$J372)</f>
        <v/>
      </c>
      <c r="X372" s="12">
        <f>IF(OR($I372="",$U372=""),"",$I372-$U372)</f>
        <v/>
      </c>
      <c r="Y372" s="11">
        <f>IF(OR($T372="",$V372=""),"",$V372-$T372)</f>
        <v/>
      </c>
      <c r="Z372" s="11">
        <f>IF(OR($S372="未発送",$S372="発送済",$S372="査定済",$S372="入金済"),1,0)</f>
        <v/>
      </c>
      <c r="AA372" s="11">
        <f>IF($U372="",0,1)</f>
        <v/>
      </c>
    </row>
    <row r="373">
      <c r="A373" s="8" t="n"/>
      <c r="B373" s="9" t="n"/>
      <c r="C373" s="10" t="n"/>
      <c r="D373" s="9" t="n"/>
      <c r="E373" s="9" t="n"/>
      <c r="F373" s="9" t="n"/>
      <c r="G373" s="4" t="n"/>
      <c r="H373" s="5" t="n"/>
      <c r="I373" s="4" t="n"/>
      <c r="J373" s="4" t="n"/>
      <c r="K373" s="4" t="n"/>
      <c r="L373" s="11">
        <f>IF($G373="","",IF($F373="",1,MAX(1,COUNTIF($F$6:$F$505,$F373)-COUNTIFS($F$6:$F$505,$F373,$S$6:$S$505,"見送り"))))</f>
        <v/>
      </c>
      <c r="M373" s="12">
        <f>IF($G373="","",IF($K373="",'設定'!$C$6,$K373)/$L373)</f>
        <v/>
      </c>
      <c r="N373" s="12">
        <f>IF(OR($G373="",$I373=""),"",$I373-$G373-$M373-$J373)</f>
        <v/>
      </c>
      <c r="O373" s="13">
        <f>IF($N373="","",IF($G373&gt;0,$N373/$G373,0))</f>
        <v/>
      </c>
      <c r="P373" s="12">
        <f>IF($G373="","",$G373*$H373)</f>
        <v/>
      </c>
      <c r="Q373" s="12">
        <f>IF($N373="","",$N373-$I373*'設定'!$C$7)</f>
        <v/>
      </c>
      <c r="R373" s="14">
        <f>IF($N373="","",IF(AND($N373&gt;='設定'!$C$4,$O373&gt;='設定'!$C$5),IF($Q373&gt;=0,"仕入れOK","OK・下落に弱い"),"見送り"))</f>
        <v/>
      </c>
      <c r="S373" s="9" t="n"/>
      <c r="T373" s="8" t="n"/>
      <c r="U373" s="4" t="n"/>
      <c r="V373" s="8" t="n"/>
      <c r="W373" s="12">
        <f>IF(OR($G373="",$U373=""),"",$U373-$G373-$M373-$J373)</f>
        <v/>
      </c>
      <c r="X373" s="12">
        <f>IF(OR($I373="",$U373=""),"",$I373-$U373)</f>
        <v/>
      </c>
      <c r="Y373" s="11">
        <f>IF(OR($T373="",$V373=""),"",$V373-$T373)</f>
        <v/>
      </c>
      <c r="Z373" s="11">
        <f>IF(OR($S373="未発送",$S373="発送済",$S373="査定済",$S373="入金済"),1,0)</f>
        <v/>
      </c>
      <c r="AA373" s="11">
        <f>IF($U373="",0,1)</f>
        <v/>
      </c>
    </row>
    <row r="374">
      <c r="A374" s="8" t="n"/>
      <c r="B374" s="9" t="n"/>
      <c r="C374" s="10" t="n"/>
      <c r="D374" s="9" t="n"/>
      <c r="E374" s="9" t="n"/>
      <c r="F374" s="9" t="n"/>
      <c r="G374" s="4" t="n"/>
      <c r="H374" s="5" t="n"/>
      <c r="I374" s="4" t="n"/>
      <c r="J374" s="4" t="n"/>
      <c r="K374" s="4" t="n"/>
      <c r="L374" s="11">
        <f>IF($G374="","",IF($F374="",1,MAX(1,COUNTIF($F$6:$F$505,$F374)-COUNTIFS($F$6:$F$505,$F374,$S$6:$S$505,"見送り"))))</f>
        <v/>
      </c>
      <c r="M374" s="12">
        <f>IF($G374="","",IF($K374="",'設定'!$C$6,$K374)/$L374)</f>
        <v/>
      </c>
      <c r="N374" s="12">
        <f>IF(OR($G374="",$I374=""),"",$I374-$G374-$M374-$J374)</f>
        <v/>
      </c>
      <c r="O374" s="13">
        <f>IF($N374="","",IF($G374&gt;0,$N374/$G374,0))</f>
        <v/>
      </c>
      <c r="P374" s="12">
        <f>IF($G374="","",$G374*$H374)</f>
        <v/>
      </c>
      <c r="Q374" s="12">
        <f>IF($N374="","",$N374-$I374*'設定'!$C$7)</f>
        <v/>
      </c>
      <c r="R374" s="14">
        <f>IF($N374="","",IF(AND($N374&gt;='設定'!$C$4,$O374&gt;='設定'!$C$5),IF($Q374&gt;=0,"仕入れOK","OK・下落に弱い"),"見送り"))</f>
        <v/>
      </c>
      <c r="S374" s="9" t="n"/>
      <c r="T374" s="8" t="n"/>
      <c r="U374" s="4" t="n"/>
      <c r="V374" s="8" t="n"/>
      <c r="W374" s="12">
        <f>IF(OR($G374="",$U374=""),"",$U374-$G374-$M374-$J374)</f>
        <v/>
      </c>
      <c r="X374" s="12">
        <f>IF(OR($I374="",$U374=""),"",$I374-$U374)</f>
        <v/>
      </c>
      <c r="Y374" s="11">
        <f>IF(OR($T374="",$V374=""),"",$V374-$T374)</f>
        <v/>
      </c>
      <c r="Z374" s="11">
        <f>IF(OR($S374="未発送",$S374="発送済",$S374="査定済",$S374="入金済"),1,0)</f>
        <v/>
      </c>
      <c r="AA374" s="11">
        <f>IF($U374="",0,1)</f>
        <v/>
      </c>
    </row>
    <row r="375">
      <c r="A375" s="8" t="n"/>
      <c r="B375" s="9" t="n"/>
      <c r="C375" s="10" t="n"/>
      <c r="D375" s="9" t="n"/>
      <c r="E375" s="9" t="n"/>
      <c r="F375" s="9" t="n"/>
      <c r="G375" s="4" t="n"/>
      <c r="H375" s="5" t="n"/>
      <c r="I375" s="4" t="n"/>
      <c r="J375" s="4" t="n"/>
      <c r="K375" s="4" t="n"/>
      <c r="L375" s="11">
        <f>IF($G375="","",IF($F375="",1,MAX(1,COUNTIF($F$6:$F$505,$F375)-COUNTIFS($F$6:$F$505,$F375,$S$6:$S$505,"見送り"))))</f>
        <v/>
      </c>
      <c r="M375" s="12">
        <f>IF($G375="","",IF($K375="",'設定'!$C$6,$K375)/$L375)</f>
        <v/>
      </c>
      <c r="N375" s="12">
        <f>IF(OR($G375="",$I375=""),"",$I375-$G375-$M375-$J375)</f>
        <v/>
      </c>
      <c r="O375" s="13">
        <f>IF($N375="","",IF($G375&gt;0,$N375/$G375,0))</f>
        <v/>
      </c>
      <c r="P375" s="12">
        <f>IF($G375="","",$G375*$H375)</f>
        <v/>
      </c>
      <c r="Q375" s="12">
        <f>IF($N375="","",$N375-$I375*'設定'!$C$7)</f>
        <v/>
      </c>
      <c r="R375" s="14">
        <f>IF($N375="","",IF(AND($N375&gt;='設定'!$C$4,$O375&gt;='設定'!$C$5),IF($Q375&gt;=0,"仕入れOK","OK・下落に弱い"),"見送り"))</f>
        <v/>
      </c>
      <c r="S375" s="9" t="n"/>
      <c r="T375" s="8" t="n"/>
      <c r="U375" s="4" t="n"/>
      <c r="V375" s="8" t="n"/>
      <c r="W375" s="12">
        <f>IF(OR($G375="",$U375=""),"",$U375-$G375-$M375-$J375)</f>
        <v/>
      </c>
      <c r="X375" s="12">
        <f>IF(OR($I375="",$U375=""),"",$I375-$U375)</f>
        <v/>
      </c>
      <c r="Y375" s="11">
        <f>IF(OR($T375="",$V375=""),"",$V375-$T375)</f>
        <v/>
      </c>
      <c r="Z375" s="11">
        <f>IF(OR($S375="未発送",$S375="発送済",$S375="査定済",$S375="入金済"),1,0)</f>
        <v/>
      </c>
      <c r="AA375" s="11">
        <f>IF($U375="",0,1)</f>
        <v/>
      </c>
    </row>
    <row r="376">
      <c r="A376" s="8" t="n"/>
      <c r="B376" s="9" t="n"/>
      <c r="C376" s="10" t="n"/>
      <c r="D376" s="9" t="n"/>
      <c r="E376" s="9" t="n"/>
      <c r="F376" s="9" t="n"/>
      <c r="G376" s="4" t="n"/>
      <c r="H376" s="5" t="n"/>
      <c r="I376" s="4" t="n"/>
      <c r="J376" s="4" t="n"/>
      <c r="K376" s="4" t="n"/>
      <c r="L376" s="11">
        <f>IF($G376="","",IF($F376="",1,MAX(1,COUNTIF($F$6:$F$505,$F376)-COUNTIFS($F$6:$F$505,$F376,$S$6:$S$505,"見送り"))))</f>
        <v/>
      </c>
      <c r="M376" s="12">
        <f>IF($G376="","",IF($K376="",'設定'!$C$6,$K376)/$L376)</f>
        <v/>
      </c>
      <c r="N376" s="12">
        <f>IF(OR($G376="",$I376=""),"",$I376-$G376-$M376-$J376)</f>
        <v/>
      </c>
      <c r="O376" s="13">
        <f>IF($N376="","",IF($G376&gt;0,$N376/$G376,0))</f>
        <v/>
      </c>
      <c r="P376" s="12">
        <f>IF($G376="","",$G376*$H376)</f>
        <v/>
      </c>
      <c r="Q376" s="12">
        <f>IF($N376="","",$N376-$I376*'設定'!$C$7)</f>
        <v/>
      </c>
      <c r="R376" s="14">
        <f>IF($N376="","",IF(AND($N376&gt;='設定'!$C$4,$O376&gt;='設定'!$C$5),IF($Q376&gt;=0,"仕入れOK","OK・下落に弱い"),"見送り"))</f>
        <v/>
      </c>
      <c r="S376" s="9" t="n"/>
      <c r="T376" s="8" t="n"/>
      <c r="U376" s="4" t="n"/>
      <c r="V376" s="8" t="n"/>
      <c r="W376" s="12">
        <f>IF(OR($G376="",$U376=""),"",$U376-$G376-$M376-$J376)</f>
        <v/>
      </c>
      <c r="X376" s="12">
        <f>IF(OR($I376="",$U376=""),"",$I376-$U376)</f>
        <v/>
      </c>
      <c r="Y376" s="11">
        <f>IF(OR($T376="",$V376=""),"",$V376-$T376)</f>
        <v/>
      </c>
      <c r="Z376" s="11">
        <f>IF(OR($S376="未発送",$S376="発送済",$S376="査定済",$S376="入金済"),1,0)</f>
        <v/>
      </c>
      <c r="AA376" s="11">
        <f>IF($U376="",0,1)</f>
        <v/>
      </c>
    </row>
    <row r="377">
      <c r="A377" s="8" t="n"/>
      <c r="B377" s="9" t="n"/>
      <c r="C377" s="10" t="n"/>
      <c r="D377" s="9" t="n"/>
      <c r="E377" s="9" t="n"/>
      <c r="F377" s="9" t="n"/>
      <c r="G377" s="4" t="n"/>
      <c r="H377" s="5" t="n"/>
      <c r="I377" s="4" t="n"/>
      <c r="J377" s="4" t="n"/>
      <c r="K377" s="4" t="n"/>
      <c r="L377" s="11">
        <f>IF($G377="","",IF($F377="",1,MAX(1,COUNTIF($F$6:$F$505,$F377)-COUNTIFS($F$6:$F$505,$F377,$S$6:$S$505,"見送り"))))</f>
        <v/>
      </c>
      <c r="M377" s="12">
        <f>IF($G377="","",IF($K377="",'設定'!$C$6,$K377)/$L377)</f>
        <v/>
      </c>
      <c r="N377" s="12">
        <f>IF(OR($G377="",$I377=""),"",$I377-$G377-$M377-$J377)</f>
        <v/>
      </c>
      <c r="O377" s="13">
        <f>IF($N377="","",IF($G377&gt;0,$N377/$G377,0))</f>
        <v/>
      </c>
      <c r="P377" s="12">
        <f>IF($G377="","",$G377*$H377)</f>
        <v/>
      </c>
      <c r="Q377" s="12">
        <f>IF($N377="","",$N377-$I377*'設定'!$C$7)</f>
        <v/>
      </c>
      <c r="R377" s="14">
        <f>IF($N377="","",IF(AND($N377&gt;='設定'!$C$4,$O377&gt;='設定'!$C$5),IF($Q377&gt;=0,"仕入れOK","OK・下落に弱い"),"見送り"))</f>
        <v/>
      </c>
      <c r="S377" s="9" t="n"/>
      <c r="T377" s="8" t="n"/>
      <c r="U377" s="4" t="n"/>
      <c r="V377" s="8" t="n"/>
      <c r="W377" s="12">
        <f>IF(OR($G377="",$U377=""),"",$U377-$G377-$M377-$J377)</f>
        <v/>
      </c>
      <c r="X377" s="12">
        <f>IF(OR($I377="",$U377=""),"",$I377-$U377)</f>
        <v/>
      </c>
      <c r="Y377" s="11">
        <f>IF(OR($T377="",$V377=""),"",$V377-$T377)</f>
        <v/>
      </c>
      <c r="Z377" s="11">
        <f>IF(OR($S377="未発送",$S377="発送済",$S377="査定済",$S377="入金済"),1,0)</f>
        <v/>
      </c>
      <c r="AA377" s="11">
        <f>IF($U377="",0,1)</f>
        <v/>
      </c>
    </row>
    <row r="378">
      <c r="A378" s="8" t="n"/>
      <c r="B378" s="9" t="n"/>
      <c r="C378" s="10" t="n"/>
      <c r="D378" s="9" t="n"/>
      <c r="E378" s="9" t="n"/>
      <c r="F378" s="9" t="n"/>
      <c r="G378" s="4" t="n"/>
      <c r="H378" s="5" t="n"/>
      <c r="I378" s="4" t="n"/>
      <c r="J378" s="4" t="n"/>
      <c r="K378" s="4" t="n"/>
      <c r="L378" s="11">
        <f>IF($G378="","",IF($F378="",1,MAX(1,COUNTIF($F$6:$F$505,$F378)-COUNTIFS($F$6:$F$505,$F378,$S$6:$S$505,"見送り"))))</f>
        <v/>
      </c>
      <c r="M378" s="12">
        <f>IF($G378="","",IF($K378="",'設定'!$C$6,$K378)/$L378)</f>
        <v/>
      </c>
      <c r="N378" s="12">
        <f>IF(OR($G378="",$I378=""),"",$I378-$G378-$M378-$J378)</f>
        <v/>
      </c>
      <c r="O378" s="13">
        <f>IF($N378="","",IF($G378&gt;0,$N378/$G378,0))</f>
        <v/>
      </c>
      <c r="P378" s="12">
        <f>IF($G378="","",$G378*$H378)</f>
        <v/>
      </c>
      <c r="Q378" s="12">
        <f>IF($N378="","",$N378-$I378*'設定'!$C$7)</f>
        <v/>
      </c>
      <c r="R378" s="14">
        <f>IF($N378="","",IF(AND($N378&gt;='設定'!$C$4,$O378&gt;='設定'!$C$5),IF($Q378&gt;=0,"仕入れOK","OK・下落に弱い"),"見送り"))</f>
        <v/>
      </c>
      <c r="S378" s="9" t="n"/>
      <c r="T378" s="8" t="n"/>
      <c r="U378" s="4" t="n"/>
      <c r="V378" s="8" t="n"/>
      <c r="W378" s="12">
        <f>IF(OR($G378="",$U378=""),"",$U378-$G378-$M378-$J378)</f>
        <v/>
      </c>
      <c r="X378" s="12">
        <f>IF(OR($I378="",$U378=""),"",$I378-$U378)</f>
        <v/>
      </c>
      <c r="Y378" s="11">
        <f>IF(OR($T378="",$V378=""),"",$V378-$T378)</f>
        <v/>
      </c>
      <c r="Z378" s="11">
        <f>IF(OR($S378="未発送",$S378="発送済",$S378="査定済",$S378="入金済"),1,0)</f>
        <v/>
      </c>
      <c r="AA378" s="11">
        <f>IF($U378="",0,1)</f>
        <v/>
      </c>
    </row>
    <row r="379">
      <c r="A379" s="8" t="n"/>
      <c r="B379" s="9" t="n"/>
      <c r="C379" s="10" t="n"/>
      <c r="D379" s="9" t="n"/>
      <c r="E379" s="9" t="n"/>
      <c r="F379" s="9" t="n"/>
      <c r="G379" s="4" t="n"/>
      <c r="H379" s="5" t="n"/>
      <c r="I379" s="4" t="n"/>
      <c r="J379" s="4" t="n"/>
      <c r="K379" s="4" t="n"/>
      <c r="L379" s="11">
        <f>IF($G379="","",IF($F379="",1,MAX(1,COUNTIF($F$6:$F$505,$F379)-COUNTIFS($F$6:$F$505,$F379,$S$6:$S$505,"見送り"))))</f>
        <v/>
      </c>
      <c r="M379" s="12">
        <f>IF($G379="","",IF($K379="",'設定'!$C$6,$K379)/$L379)</f>
        <v/>
      </c>
      <c r="N379" s="12">
        <f>IF(OR($G379="",$I379=""),"",$I379-$G379-$M379-$J379)</f>
        <v/>
      </c>
      <c r="O379" s="13">
        <f>IF($N379="","",IF($G379&gt;0,$N379/$G379,0))</f>
        <v/>
      </c>
      <c r="P379" s="12">
        <f>IF($G379="","",$G379*$H379)</f>
        <v/>
      </c>
      <c r="Q379" s="12">
        <f>IF($N379="","",$N379-$I379*'設定'!$C$7)</f>
        <v/>
      </c>
      <c r="R379" s="14">
        <f>IF($N379="","",IF(AND($N379&gt;='設定'!$C$4,$O379&gt;='設定'!$C$5),IF($Q379&gt;=0,"仕入れOK","OK・下落に弱い"),"見送り"))</f>
        <v/>
      </c>
      <c r="S379" s="9" t="n"/>
      <c r="T379" s="8" t="n"/>
      <c r="U379" s="4" t="n"/>
      <c r="V379" s="8" t="n"/>
      <c r="W379" s="12">
        <f>IF(OR($G379="",$U379=""),"",$U379-$G379-$M379-$J379)</f>
        <v/>
      </c>
      <c r="X379" s="12">
        <f>IF(OR($I379="",$U379=""),"",$I379-$U379)</f>
        <v/>
      </c>
      <c r="Y379" s="11">
        <f>IF(OR($T379="",$V379=""),"",$V379-$T379)</f>
        <v/>
      </c>
      <c r="Z379" s="11">
        <f>IF(OR($S379="未発送",$S379="発送済",$S379="査定済",$S379="入金済"),1,0)</f>
        <v/>
      </c>
      <c r="AA379" s="11">
        <f>IF($U379="",0,1)</f>
        <v/>
      </c>
    </row>
    <row r="380">
      <c r="A380" s="8" t="n"/>
      <c r="B380" s="9" t="n"/>
      <c r="C380" s="10" t="n"/>
      <c r="D380" s="9" t="n"/>
      <c r="E380" s="9" t="n"/>
      <c r="F380" s="9" t="n"/>
      <c r="G380" s="4" t="n"/>
      <c r="H380" s="5" t="n"/>
      <c r="I380" s="4" t="n"/>
      <c r="J380" s="4" t="n"/>
      <c r="K380" s="4" t="n"/>
      <c r="L380" s="11">
        <f>IF($G380="","",IF($F380="",1,MAX(1,COUNTIF($F$6:$F$505,$F380)-COUNTIFS($F$6:$F$505,$F380,$S$6:$S$505,"見送り"))))</f>
        <v/>
      </c>
      <c r="M380" s="12">
        <f>IF($G380="","",IF($K380="",'設定'!$C$6,$K380)/$L380)</f>
        <v/>
      </c>
      <c r="N380" s="12">
        <f>IF(OR($G380="",$I380=""),"",$I380-$G380-$M380-$J380)</f>
        <v/>
      </c>
      <c r="O380" s="13">
        <f>IF($N380="","",IF($G380&gt;0,$N380/$G380,0))</f>
        <v/>
      </c>
      <c r="P380" s="12">
        <f>IF($G380="","",$G380*$H380)</f>
        <v/>
      </c>
      <c r="Q380" s="12">
        <f>IF($N380="","",$N380-$I380*'設定'!$C$7)</f>
        <v/>
      </c>
      <c r="R380" s="14">
        <f>IF($N380="","",IF(AND($N380&gt;='設定'!$C$4,$O380&gt;='設定'!$C$5),IF($Q380&gt;=0,"仕入れOK","OK・下落に弱い"),"見送り"))</f>
        <v/>
      </c>
      <c r="S380" s="9" t="n"/>
      <c r="T380" s="8" t="n"/>
      <c r="U380" s="4" t="n"/>
      <c r="V380" s="8" t="n"/>
      <c r="W380" s="12">
        <f>IF(OR($G380="",$U380=""),"",$U380-$G380-$M380-$J380)</f>
        <v/>
      </c>
      <c r="X380" s="12">
        <f>IF(OR($I380="",$U380=""),"",$I380-$U380)</f>
        <v/>
      </c>
      <c r="Y380" s="11">
        <f>IF(OR($T380="",$V380=""),"",$V380-$T380)</f>
        <v/>
      </c>
      <c r="Z380" s="11">
        <f>IF(OR($S380="未発送",$S380="発送済",$S380="査定済",$S380="入金済"),1,0)</f>
        <v/>
      </c>
      <c r="AA380" s="11">
        <f>IF($U380="",0,1)</f>
        <v/>
      </c>
    </row>
    <row r="381">
      <c r="A381" s="8" t="n"/>
      <c r="B381" s="9" t="n"/>
      <c r="C381" s="10" t="n"/>
      <c r="D381" s="9" t="n"/>
      <c r="E381" s="9" t="n"/>
      <c r="F381" s="9" t="n"/>
      <c r="G381" s="4" t="n"/>
      <c r="H381" s="5" t="n"/>
      <c r="I381" s="4" t="n"/>
      <c r="J381" s="4" t="n"/>
      <c r="K381" s="4" t="n"/>
      <c r="L381" s="11">
        <f>IF($G381="","",IF($F381="",1,MAX(1,COUNTIF($F$6:$F$505,$F381)-COUNTIFS($F$6:$F$505,$F381,$S$6:$S$505,"見送り"))))</f>
        <v/>
      </c>
      <c r="M381" s="12">
        <f>IF($G381="","",IF($K381="",'設定'!$C$6,$K381)/$L381)</f>
        <v/>
      </c>
      <c r="N381" s="12">
        <f>IF(OR($G381="",$I381=""),"",$I381-$G381-$M381-$J381)</f>
        <v/>
      </c>
      <c r="O381" s="13">
        <f>IF($N381="","",IF($G381&gt;0,$N381/$G381,0))</f>
        <v/>
      </c>
      <c r="P381" s="12">
        <f>IF($G381="","",$G381*$H381)</f>
        <v/>
      </c>
      <c r="Q381" s="12">
        <f>IF($N381="","",$N381-$I381*'設定'!$C$7)</f>
        <v/>
      </c>
      <c r="R381" s="14">
        <f>IF($N381="","",IF(AND($N381&gt;='設定'!$C$4,$O381&gt;='設定'!$C$5),IF($Q381&gt;=0,"仕入れOK","OK・下落に弱い"),"見送り"))</f>
        <v/>
      </c>
      <c r="S381" s="9" t="n"/>
      <c r="T381" s="8" t="n"/>
      <c r="U381" s="4" t="n"/>
      <c r="V381" s="8" t="n"/>
      <c r="W381" s="12">
        <f>IF(OR($G381="",$U381=""),"",$U381-$G381-$M381-$J381)</f>
        <v/>
      </c>
      <c r="X381" s="12">
        <f>IF(OR($I381="",$U381=""),"",$I381-$U381)</f>
        <v/>
      </c>
      <c r="Y381" s="11">
        <f>IF(OR($T381="",$V381=""),"",$V381-$T381)</f>
        <v/>
      </c>
      <c r="Z381" s="11">
        <f>IF(OR($S381="未発送",$S381="発送済",$S381="査定済",$S381="入金済"),1,0)</f>
        <v/>
      </c>
      <c r="AA381" s="11">
        <f>IF($U381="",0,1)</f>
        <v/>
      </c>
    </row>
    <row r="382">
      <c r="A382" s="8" t="n"/>
      <c r="B382" s="9" t="n"/>
      <c r="C382" s="10" t="n"/>
      <c r="D382" s="9" t="n"/>
      <c r="E382" s="9" t="n"/>
      <c r="F382" s="9" t="n"/>
      <c r="G382" s="4" t="n"/>
      <c r="H382" s="5" t="n"/>
      <c r="I382" s="4" t="n"/>
      <c r="J382" s="4" t="n"/>
      <c r="K382" s="4" t="n"/>
      <c r="L382" s="11">
        <f>IF($G382="","",IF($F382="",1,MAX(1,COUNTIF($F$6:$F$505,$F382)-COUNTIFS($F$6:$F$505,$F382,$S$6:$S$505,"見送り"))))</f>
        <v/>
      </c>
      <c r="M382" s="12">
        <f>IF($G382="","",IF($K382="",'設定'!$C$6,$K382)/$L382)</f>
        <v/>
      </c>
      <c r="N382" s="12">
        <f>IF(OR($G382="",$I382=""),"",$I382-$G382-$M382-$J382)</f>
        <v/>
      </c>
      <c r="O382" s="13">
        <f>IF($N382="","",IF($G382&gt;0,$N382/$G382,0))</f>
        <v/>
      </c>
      <c r="P382" s="12">
        <f>IF($G382="","",$G382*$H382)</f>
        <v/>
      </c>
      <c r="Q382" s="12">
        <f>IF($N382="","",$N382-$I382*'設定'!$C$7)</f>
        <v/>
      </c>
      <c r="R382" s="14">
        <f>IF($N382="","",IF(AND($N382&gt;='設定'!$C$4,$O382&gt;='設定'!$C$5),IF($Q382&gt;=0,"仕入れOK","OK・下落に弱い"),"見送り"))</f>
        <v/>
      </c>
      <c r="S382" s="9" t="n"/>
      <c r="T382" s="8" t="n"/>
      <c r="U382" s="4" t="n"/>
      <c r="V382" s="8" t="n"/>
      <c r="W382" s="12">
        <f>IF(OR($G382="",$U382=""),"",$U382-$G382-$M382-$J382)</f>
        <v/>
      </c>
      <c r="X382" s="12">
        <f>IF(OR($I382="",$U382=""),"",$I382-$U382)</f>
        <v/>
      </c>
      <c r="Y382" s="11">
        <f>IF(OR($T382="",$V382=""),"",$V382-$T382)</f>
        <v/>
      </c>
      <c r="Z382" s="11">
        <f>IF(OR($S382="未発送",$S382="発送済",$S382="査定済",$S382="入金済"),1,0)</f>
        <v/>
      </c>
      <c r="AA382" s="11">
        <f>IF($U382="",0,1)</f>
        <v/>
      </c>
    </row>
    <row r="383">
      <c r="A383" s="8" t="n"/>
      <c r="B383" s="9" t="n"/>
      <c r="C383" s="10" t="n"/>
      <c r="D383" s="9" t="n"/>
      <c r="E383" s="9" t="n"/>
      <c r="F383" s="9" t="n"/>
      <c r="G383" s="4" t="n"/>
      <c r="H383" s="5" t="n"/>
      <c r="I383" s="4" t="n"/>
      <c r="J383" s="4" t="n"/>
      <c r="K383" s="4" t="n"/>
      <c r="L383" s="11">
        <f>IF($G383="","",IF($F383="",1,MAX(1,COUNTIF($F$6:$F$505,$F383)-COUNTIFS($F$6:$F$505,$F383,$S$6:$S$505,"見送り"))))</f>
        <v/>
      </c>
      <c r="M383" s="12">
        <f>IF($G383="","",IF($K383="",'設定'!$C$6,$K383)/$L383)</f>
        <v/>
      </c>
      <c r="N383" s="12">
        <f>IF(OR($G383="",$I383=""),"",$I383-$G383-$M383-$J383)</f>
        <v/>
      </c>
      <c r="O383" s="13">
        <f>IF($N383="","",IF($G383&gt;0,$N383/$G383,0))</f>
        <v/>
      </c>
      <c r="P383" s="12">
        <f>IF($G383="","",$G383*$H383)</f>
        <v/>
      </c>
      <c r="Q383" s="12">
        <f>IF($N383="","",$N383-$I383*'設定'!$C$7)</f>
        <v/>
      </c>
      <c r="R383" s="14">
        <f>IF($N383="","",IF(AND($N383&gt;='設定'!$C$4,$O383&gt;='設定'!$C$5),IF($Q383&gt;=0,"仕入れOK","OK・下落に弱い"),"見送り"))</f>
        <v/>
      </c>
      <c r="S383" s="9" t="n"/>
      <c r="T383" s="8" t="n"/>
      <c r="U383" s="4" t="n"/>
      <c r="V383" s="8" t="n"/>
      <c r="W383" s="12">
        <f>IF(OR($G383="",$U383=""),"",$U383-$G383-$M383-$J383)</f>
        <v/>
      </c>
      <c r="X383" s="12">
        <f>IF(OR($I383="",$U383=""),"",$I383-$U383)</f>
        <v/>
      </c>
      <c r="Y383" s="11">
        <f>IF(OR($T383="",$V383=""),"",$V383-$T383)</f>
        <v/>
      </c>
      <c r="Z383" s="11">
        <f>IF(OR($S383="未発送",$S383="発送済",$S383="査定済",$S383="入金済"),1,0)</f>
        <v/>
      </c>
      <c r="AA383" s="11">
        <f>IF($U383="",0,1)</f>
        <v/>
      </c>
    </row>
    <row r="384">
      <c r="A384" s="8" t="n"/>
      <c r="B384" s="9" t="n"/>
      <c r="C384" s="10" t="n"/>
      <c r="D384" s="9" t="n"/>
      <c r="E384" s="9" t="n"/>
      <c r="F384" s="9" t="n"/>
      <c r="G384" s="4" t="n"/>
      <c r="H384" s="5" t="n"/>
      <c r="I384" s="4" t="n"/>
      <c r="J384" s="4" t="n"/>
      <c r="K384" s="4" t="n"/>
      <c r="L384" s="11">
        <f>IF($G384="","",IF($F384="",1,MAX(1,COUNTIF($F$6:$F$505,$F384)-COUNTIFS($F$6:$F$505,$F384,$S$6:$S$505,"見送り"))))</f>
        <v/>
      </c>
      <c r="M384" s="12">
        <f>IF($G384="","",IF($K384="",'設定'!$C$6,$K384)/$L384)</f>
        <v/>
      </c>
      <c r="N384" s="12">
        <f>IF(OR($G384="",$I384=""),"",$I384-$G384-$M384-$J384)</f>
        <v/>
      </c>
      <c r="O384" s="13">
        <f>IF($N384="","",IF($G384&gt;0,$N384/$G384,0))</f>
        <v/>
      </c>
      <c r="P384" s="12">
        <f>IF($G384="","",$G384*$H384)</f>
        <v/>
      </c>
      <c r="Q384" s="12">
        <f>IF($N384="","",$N384-$I384*'設定'!$C$7)</f>
        <v/>
      </c>
      <c r="R384" s="14">
        <f>IF($N384="","",IF(AND($N384&gt;='設定'!$C$4,$O384&gt;='設定'!$C$5),IF($Q384&gt;=0,"仕入れOK","OK・下落に弱い"),"見送り"))</f>
        <v/>
      </c>
      <c r="S384" s="9" t="n"/>
      <c r="T384" s="8" t="n"/>
      <c r="U384" s="4" t="n"/>
      <c r="V384" s="8" t="n"/>
      <c r="W384" s="12">
        <f>IF(OR($G384="",$U384=""),"",$U384-$G384-$M384-$J384)</f>
        <v/>
      </c>
      <c r="X384" s="12">
        <f>IF(OR($I384="",$U384=""),"",$I384-$U384)</f>
        <v/>
      </c>
      <c r="Y384" s="11">
        <f>IF(OR($T384="",$V384=""),"",$V384-$T384)</f>
        <v/>
      </c>
      <c r="Z384" s="11">
        <f>IF(OR($S384="未発送",$S384="発送済",$S384="査定済",$S384="入金済"),1,0)</f>
        <v/>
      </c>
      <c r="AA384" s="11">
        <f>IF($U384="",0,1)</f>
        <v/>
      </c>
    </row>
    <row r="385">
      <c r="A385" s="8" t="n"/>
      <c r="B385" s="9" t="n"/>
      <c r="C385" s="10" t="n"/>
      <c r="D385" s="9" t="n"/>
      <c r="E385" s="9" t="n"/>
      <c r="F385" s="9" t="n"/>
      <c r="G385" s="4" t="n"/>
      <c r="H385" s="5" t="n"/>
      <c r="I385" s="4" t="n"/>
      <c r="J385" s="4" t="n"/>
      <c r="K385" s="4" t="n"/>
      <c r="L385" s="11">
        <f>IF($G385="","",IF($F385="",1,MAX(1,COUNTIF($F$6:$F$505,$F385)-COUNTIFS($F$6:$F$505,$F385,$S$6:$S$505,"見送り"))))</f>
        <v/>
      </c>
      <c r="M385" s="12">
        <f>IF($G385="","",IF($K385="",'設定'!$C$6,$K385)/$L385)</f>
        <v/>
      </c>
      <c r="N385" s="12">
        <f>IF(OR($G385="",$I385=""),"",$I385-$G385-$M385-$J385)</f>
        <v/>
      </c>
      <c r="O385" s="13">
        <f>IF($N385="","",IF($G385&gt;0,$N385/$G385,0))</f>
        <v/>
      </c>
      <c r="P385" s="12">
        <f>IF($G385="","",$G385*$H385)</f>
        <v/>
      </c>
      <c r="Q385" s="12">
        <f>IF($N385="","",$N385-$I385*'設定'!$C$7)</f>
        <v/>
      </c>
      <c r="R385" s="14">
        <f>IF($N385="","",IF(AND($N385&gt;='設定'!$C$4,$O385&gt;='設定'!$C$5),IF($Q385&gt;=0,"仕入れOK","OK・下落に弱い"),"見送り"))</f>
        <v/>
      </c>
      <c r="S385" s="9" t="n"/>
      <c r="T385" s="8" t="n"/>
      <c r="U385" s="4" t="n"/>
      <c r="V385" s="8" t="n"/>
      <c r="W385" s="12">
        <f>IF(OR($G385="",$U385=""),"",$U385-$G385-$M385-$J385)</f>
        <v/>
      </c>
      <c r="X385" s="12">
        <f>IF(OR($I385="",$U385=""),"",$I385-$U385)</f>
        <v/>
      </c>
      <c r="Y385" s="11">
        <f>IF(OR($T385="",$V385=""),"",$V385-$T385)</f>
        <v/>
      </c>
      <c r="Z385" s="11">
        <f>IF(OR($S385="未発送",$S385="発送済",$S385="査定済",$S385="入金済"),1,0)</f>
        <v/>
      </c>
      <c r="AA385" s="11">
        <f>IF($U385="",0,1)</f>
        <v/>
      </c>
    </row>
    <row r="386">
      <c r="A386" s="8" t="n"/>
      <c r="B386" s="9" t="n"/>
      <c r="C386" s="10" t="n"/>
      <c r="D386" s="9" t="n"/>
      <c r="E386" s="9" t="n"/>
      <c r="F386" s="9" t="n"/>
      <c r="G386" s="4" t="n"/>
      <c r="H386" s="5" t="n"/>
      <c r="I386" s="4" t="n"/>
      <c r="J386" s="4" t="n"/>
      <c r="K386" s="4" t="n"/>
      <c r="L386" s="11">
        <f>IF($G386="","",IF($F386="",1,MAX(1,COUNTIF($F$6:$F$505,$F386)-COUNTIFS($F$6:$F$505,$F386,$S$6:$S$505,"見送り"))))</f>
        <v/>
      </c>
      <c r="M386" s="12">
        <f>IF($G386="","",IF($K386="",'設定'!$C$6,$K386)/$L386)</f>
        <v/>
      </c>
      <c r="N386" s="12">
        <f>IF(OR($G386="",$I386=""),"",$I386-$G386-$M386-$J386)</f>
        <v/>
      </c>
      <c r="O386" s="13">
        <f>IF($N386="","",IF($G386&gt;0,$N386/$G386,0))</f>
        <v/>
      </c>
      <c r="P386" s="12">
        <f>IF($G386="","",$G386*$H386)</f>
        <v/>
      </c>
      <c r="Q386" s="12">
        <f>IF($N386="","",$N386-$I386*'設定'!$C$7)</f>
        <v/>
      </c>
      <c r="R386" s="14">
        <f>IF($N386="","",IF(AND($N386&gt;='設定'!$C$4,$O386&gt;='設定'!$C$5),IF($Q386&gt;=0,"仕入れOK","OK・下落に弱い"),"見送り"))</f>
        <v/>
      </c>
      <c r="S386" s="9" t="n"/>
      <c r="T386" s="8" t="n"/>
      <c r="U386" s="4" t="n"/>
      <c r="V386" s="8" t="n"/>
      <c r="W386" s="12">
        <f>IF(OR($G386="",$U386=""),"",$U386-$G386-$M386-$J386)</f>
        <v/>
      </c>
      <c r="X386" s="12">
        <f>IF(OR($I386="",$U386=""),"",$I386-$U386)</f>
        <v/>
      </c>
      <c r="Y386" s="11">
        <f>IF(OR($T386="",$V386=""),"",$V386-$T386)</f>
        <v/>
      </c>
      <c r="Z386" s="11">
        <f>IF(OR($S386="未発送",$S386="発送済",$S386="査定済",$S386="入金済"),1,0)</f>
        <v/>
      </c>
      <c r="AA386" s="11">
        <f>IF($U386="",0,1)</f>
        <v/>
      </c>
    </row>
    <row r="387">
      <c r="A387" s="8" t="n"/>
      <c r="B387" s="9" t="n"/>
      <c r="C387" s="10" t="n"/>
      <c r="D387" s="9" t="n"/>
      <c r="E387" s="9" t="n"/>
      <c r="F387" s="9" t="n"/>
      <c r="G387" s="4" t="n"/>
      <c r="H387" s="5" t="n"/>
      <c r="I387" s="4" t="n"/>
      <c r="J387" s="4" t="n"/>
      <c r="K387" s="4" t="n"/>
      <c r="L387" s="11">
        <f>IF($G387="","",IF($F387="",1,MAX(1,COUNTIF($F$6:$F$505,$F387)-COUNTIFS($F$6:$F$505,$F387,$S$6:$S$505,"見送り"))))</f>
        <v/>
      </c>
      <c r="M387" s="12">
        <f>IF($G387="","",IF($K387="",'設定'!$C$6,$K387)/$L387)</f>
        <v/>
      </c>
      <c r="N387" s="12">
        <f>IF(OR($G387="",$I387=""),"",$I387-$G387-$M387-$J387)</f>
        <v/>
      </c>
      <c r="O387" s="13">
        <f>IF($N387="","",IF($G387&gt;0,$N387/$G387,0))</f>
        <v/>
      </c>
      <c r="P387" s="12">
        <f>IF($G387="","",$G387*$H387)</f>
        <v/>
      </c>
      <c r="Q387" s="12">
        <f>IF($N387="","",$N387-$I387*'設定'!$C$7)</f>
        <v/>
      </c>
      <c r="R387" s="14">
        <f>IF($N387="","",IF(AND($N387&gt;='設定'!$C$4,$O387&gt;='設定'!$C$5),IF($Q387&gt;=0,"仕入れOK","OK・下落に弱い"),"見送り"))</f>
        <v/>
      </c>
      <c r="S387" s="9" t="n"/>
      <c r="T387" s="8" t="n"/>
      <c r="U387" s="4" t="n"/>
      <c r="V387" s="8" t="n"/>
      <c r="W387" s="12">
        <f>IF(OR($G387="",$U387=""),"",$U387-$G387-$M387-$J387)</f>
        <v/>
      </c>
      <c r="X387" s="12">
        <f>IF(OR($I387="",$U387=""),"",$I387-$U387)</f>
        <v/>
      </c>
      <c r="Y387" s="11">
        <f>IF(OR($T387="",$V387=""),"",$V387-$T387)</f>
        <v/>
      </c>
      <c r="Z387" s="11">
        <f>IF(OR($S387="未発送",$S387="発送済",$S387="査定済",$S387="入金済"),1,0)</f>
        <v/>
      </c>
      <c r="AA387" s="11">
        <f>IF($U387="",0,1)</f>
        <v/>
      </c>
    </row>
    <row r="388">
      <c r="A388" s="8" t="n"/>
      <c r="B388" s="9" t="n"/>
      <c r="C388" s="10" t="n"/>
      <c r="D388" s="9" t="n"/>
      <c r="E388" s="9" t="n"/>
      <c r="F388" s="9" t="n"/>
      <c r="G388" s="4" t="n"/>
      <c r="H388" s="5" t="n"/>
      <c r="I388" s="4" t="n"/>
      <c r="J388" s="4" t="n"/>
      <c r="K388" s="4" t="n"/>
      <c r="L388" s="11">
        <f>IF($G388="","",IF($F388="",1,MAX(1,COUNTIF($F$6:$F$505,$F388)-COUNTIFS($F$6:$F$505,$F388,$S$6:$S$505,"見送り"))))</f>
        <v/>
      </c>
      <c r="M388" s="12">
        <f>IF($G388="","",IF($K388="",'設定'!$C$6,$K388)/$L388)</f>
        <v/>
      </c>
      <c r="N388" s="12">
        <f>IF(OR($G388="",$I388=""),"",$I388-$G388-$M388-$J388)</f>
        <v/>
      </c>
      <c r="O388" s="13">
        <f>IF($N388="","",IF($G388&gt;0,$N388/$G388,0))</f>
        <v/>
      </c>
      <c r="P388" s="12">
        <f>IF($G388="","",$G388*$H388)</f>
        <v/>
      </c>
      <c r="Q388" s="12">
        <f>IF($N388="","",$N388-$I388*'設定'!$C$7)</f>
        <v/>
      </c>
      <c r="R388" s="14">
        <f>IF($N388="","",IF(AND($N388&gt;='設定'!$C$4,$O388&gt;='設定'!$C$5),IF($Q388&gt;=0,"仕入れOK","OK・下落に弱い"),"見送り"))</f>
        <v/>
      </c>
      <c r="S388" s="9" t="n"/>
      <c r="T388" s="8" t="n"/>
      <c r="U388" s="4" t="n"/>
      <c r="V388" s="8" t="n"/>
      <c r="W388" s="12">
        <f>IF(OR($G388="",$U388=""),"",$U388-$G388-$M388-$J388)</f>
        <v/>
      </c>
      <c r="X388" s="12">
        <f>IF(OR($I388="",$U388=""),"",$I388-$U388)</f>
        <v/>
      </c>
      <c r="Y388" s="11">
        <f>IF(OR($T388="",$V388=""),"",$V388-$T388)</f>
        <v/>
      </c>
      <c r="Z388" s="11">
        <f>IF(OR($S388="未発送",$S388="発送済",$S388="査定済",$S388="入金済"),1,0)</f>
        <v/>
      </c>
      <c r="AA388" s="11">
        <f>IF($U388="",0,1)</f>
        <v/>
      </c>
    </row>
    <row r="389">
      <c r="A389" s="8" t="n"/>
      <c r="B389" s="9" t="n"/>
      <c r="C389" s="10" t="n"/>
      <c r="D389" s="9" t="n"/>
      <c r="E389" s="9" t="n"/>
      <c r="F389" s="9" t="n"/>
      <c r="G389" s="4" t="n"/>
      <c r="H389" s="5" t="n"/>
      <c r="I389" s="4" t="n"/>
      <c r="J389" s="4" t="n"/>
      <c r="K389" s="4" t="n"/>
      <c r="L389" s="11">
        <f>IF($G389="","",IF($F389="",1,MAX(1,COUNTIF($F$6:$F$505,$F389)-COUNTIFS($F$6:$F$505,$F389,$S$6:$S$505,"見送り"))))</f>
        <v/>
      </c>
      <c r="M389" s="12">
        <f>IF($G389="","",IF($K389="",'設定'!$C$6,$K389)/$L389)</f>
        <v/>
      </c>
      <c r="N389" s="12">
        <f>IF(OR($G389="",$I389=""),"",$I389-$G389-$M389-$J389)</f>
        <v/>
      </c>
      <c r="O389" s="13">
        <f>IF($N389="","",IF($G389&gt;0,$N389/$G389,0))</f>
        <v/>
      </c>
      <c r="P389" s="12">
        <f>IF($G389="","",$G389*$H389)</f>
        <v/>
      </c>
      <c r="Q389" s="12">
        <f>IF($N389="","",$N389-$I389*'設定'!$C$7)</f>
        <v/>
      </c>
      <c r="R389" s="14">
        <f>IF($N389="","",IF(AND($N389&gt;='設定'!$C$4,$O389&gt;='設定'!$C$5),IF($Q389&gt;=0,"仕入れOK","OK・下落に弱い"),"見送り"))</f>
        <v/>
      </c>
      <c r="S389" s="9" t="n"/>
      <c r="T389" s="8" t="n"/>
      <c r="U389" s="4" t="n"/>
      <c r="V389" s="8" t="n"/>
      <c r="W389" s="12">
        <f>IF(OR($G389="",$U389=""),"",$U389-$G389-$M389-$J389)</f>
        <v/>
      </c>
      <c r="X389" s="12">
        <f>IF(OR($I389="",$U389=""),"",$I389-$U389)</f>
        <v/>
      </c>
      <c r="Y389" s="11">
        <f>IF(OR($T389="",$V389=""),"",$V389-$T389)</f>
        <v/>
      </c>
      <c r="Z389" s="11">
        <f>IF(OR($S389="未発送",$S389="発送済",$S389="査定済",$S389="入金済"),1,0)</f>
        <v/>
      </c>
      <c r="AA389" s="11">
        <f>IF($U389="",0,1)</f>
        <v/>
      </c>
    </row>
    <row r="390">
      <c r="A390" s="8" t="n"/>
      <c r="B390" s="9" t="n"/>
      <c r="C390" s="10" t="n"/>
      <c r="D390" s="9" t="n"/>
      <c r="E390" s="9" t="n"/>
      <c r="F390" s="9" t="n"/>
      <c r="G390" s="4" t="n"/>
      <c r="H390" s="5" t="n"/>
      <c r="I390" s="4" t="n"/>
      <c r="J390" s="4" t="n"/>
      <c r="K390" s="4" t="n"/>
      <c r="L390" s="11">
        <f>IF($G390="","",IF($F390="",1,MAX(1,COUNTIF($F$6:$F$505,$F390)-COUNTIFS($F$6:$F$505,$F390,$S$6:$S$505,"見送り"))))</f>
        <v/>
      </c>
      <c r="M390" s="12">
        <f>IF($G390="","",IF($K390="",'設定'!$C$6,$K390)/$L390)</f>
        <v/>
      </c>
      <c r="N390" s="12">
        <f>IF(OR($G390="",$I390=""),"",$I390-$G390-$M390-$J390)</f>
        <v/>
      </c>
      <c r="O390" s="13">
        <f>IF($N390="","",IF($G390&gt;0,$N390/$G390,0))</f>
        <v/>
      </c>
      <c r="P390" s="12">
        <f>IF($G390="","",$G390*$H390)</f>
        <v/>
      </c>
      <c r="Q390" s="12">
        <f>IF($N390="","",$N390-$I390*'設定'!$C$7)</f>
        <v/>
      </c>
      <c r="R390" s="14">
        <f>IF($N390="","",IF(AND($N390&gt;='設定'!$C$4,$O390&gt;='設定'!$C$5),IF($Q390&gt;=0,"仕入れOK","OK・下落に弱い"),"見送り"))</f>
        <v/>
      </c>
      <c r="S390" s="9" t="n"/>
      <c r="T390" s="8" t="n"/>
      <c r="U390" s="4" t="n"/>
      <c r="V390" s="8" t="n"/>
      <c r="W390" s="12">
        <f>IF(OR($G390="",$U390=""),"",$U390-$G390-$M390-$J390)</f>
        <v/>
      </c>
      <c r="X390" s="12">
        <f>IF(OR($I390="",$U390=""),"",$I390-$U390)</f>
        <v/>
      </c>
      <c r="Y390" s="11">
        <f>IF(OR($T390="",$V390=""),"",$V390-$T390)</f>
        <v/>
      </c>
      <c r="Z390" s="11">
        <f>IF(OR($S390="未発送",$S390="発送済",$S390="査定済",$S390="入金済"),1,0)</f>
        <v/>
      </c>
      <c r="AA390" s="11">
        <f>IF($U390="",0,1)</f>
        <v/>
      </c>
    </row>
    <row r="391">
      <c r="A391" s="8" t="n"/>
      <c r="B391" s="9" t="n"/>
      <c r="C391" s="10" t="n"/>
      <c r="D391" s="9" t="n"/>
      <c r="E391" s="9" t="n"/>
      <c r="F391" s="9" t="n"/>
      <c r="G391" s="4" t="n"/>
      <c r="H391" s="5" t="n"/>
      <c r="I391" s="4" t="n"/>
      <c r="J391" s="4" t="n"/>
      <c r="K391" s="4" t="n"/>
      <c r="L391" s="11">
        <f>IF($G391="","",IF($F391="",1,MAX(1,COUNTIF($F$6:$F$505,$F391)-COUNTIFS($F$6:$F$505,$F391,$S$6:$S$505,"見送り"))))</f>
        <v/>
      </c>
      <c r="M391" s="12">
        <f>IF($G391="","",IF($K391="",'設定'!$C$6,$K391)/$L391)</f>
        <v/>
      </c>
      <c r="N391" s="12">
        <f>IF(OR($G391="",$I391=""),"",$I391-$G391-$M391-$J391)</f>
        <v/>
      </c>
      <c r="O391" s="13">
        <f>IF($N391="","",IF($G391&gt;0,$N391/$G391,0))</f>
        <v/>
      </c>
      <c r="P391" s="12">
        <f>IF($G391="","",$G391*$H391)</f>
        <v/>
      </c>
      <c r="Q391" s="12">
        <f>IF($N391="","",$N391-$I391*'設定'!$C$7)</f>
        <v/>
      </c>
      <c r="R391" s="14">
        <f>IF($N391="","",IF(AND($N391&gt;='設定'!$C$4,$O391&gt;='設定'!$C$5),IF($Q391&gt;=0,"仕入れOK","OK・下落に弱い"),"見送り"))</f>
        <v/>
      </c>
      <c r="S391" s="9" t="n"/>
      <c r="T391" s="8" t="n"/>
      <c r="U391" s="4" t="n"/>
      <c r="V391" s="8" t="n"/>
      <c r="W391" s="12">
        <f>IF(OR($G391="",$U391=""),"",$U391-$G391-$M391-$J391)</f>
        <v/>
      </c>
      <c r="X391" s="12">
        <f>IF(OR($I391="",$U391=""),"",$I391-$U391)</f>
        <v/>
      </c>
      <c r="Y391" s="11">
        <f>IF(OR($T391="",$V391=""),"",$V391-$T391)</f>
        <v/>
      </c>
      <c r="Z391" s="11">
        <f>IF(OR($S391="未発送",$S391="発送済",$S391="査定済",$S391="入金済"),1,0)</f>
        <v/>
      </c>
      <c r="AA391" s="11">
        <f>IF($U391="",0,1)</f>
        <v/>
      </c>
    </row>
    <row r="392">
      <c r="A392" s="8" t="n"/>
      <c r="B392" s="9" t="n"/>
      <c r="C392" s="10" t="n"/>
      <c r="D392" s="9" t="n"/>
      <c r="E392" s="9" t="n"/>
      <c r="F392" s="9" t="n"/>
      <c r="G392" s="4" t="n"/>
      <c r="H392" s="5" t="n"/>
      <c r="I392" s="4" t="n"/>
      <c r="J392" s="4" t="n"/>
      <c r="K392" s="4" t="n"/>
      <c r="L392" s="11">
        <f>IF($G392="","",IF($F392="",1,MAX(1,COUNTIF($F$6:$F$505,$F392)-COUNTIFS($F$6:$F$505,$F392,$S$6:$S$505,"見送り"))))</f>
        <v/>
      </c>
      <c r="M392" s="12">
        <f>IF($G392="","",IF($K392="",'設定'!$C$6,$K392)/$L392)</f>
        <v/>
      </c>
      <c r="N392" s="12">
        <f>IF(OR($G392="",$I392=""),"",$I392-$G392-$M392-$J392)</f>
        <v/>
      </c>
      <c r="O392" s="13">
        <f>IF($N392="","",IF($G392&gt;0,$N392/$G392,0))</f>
        <v/>
      </c>
      <c r="P392" s="12">
        <f>IF($G392="","",$G392*$H392)</f>
        <v/>
      </c>
      <c r="Q392" s="12">
        <f>IF($N392="","",$N392-$I392*'設定'!$C$7)</f>
        <v/>
      </c>
      <c r="R392" s="14">
        <f>IF($N392="","",IF(AND($N392&gt;='設定'!$C$4,$O392&gt;='設定'!$C$5),IF($Q392&gt;=0,"仕入れOK","OK・下落に弱い"),"見送り"))</f>
        <v/>
      </c>
      <c r="S392" s="9" t="n"/>
      <c r="T392" s="8" t="n"/>
      <c r="U392" s="4" t="n"/>
      <c r="V392" s="8" t="n"/>
      <c r="W392" s="12">
        <f>IF(OR($G392="",$U392=""),"",$U392-$G392-$M392-$J392)</f>
        <v/>
      </c>
      <c r="X392" s="12">
        <f>IF(OR($I392="",$U392=""),"",$I392-$U392)</f>
        <v/>
      </c>
      <c r="Y392" s="11">
        <f>IF(OR($T392="",$V392=""),"",$V392-$T392)</f>
        <v/>
      </c>
      <c r="Z392" s="11">
        <f>IF(OR($S392="未発送",$S392="発送済",$S392="査定済",$S392="入金済"),1,0)</f>
        <v/>
      </c>
      <c r="AA392" s="11">
        <f>IF($U392="",0,1)</f>
        <v/>
      </c>
    </row>
    <row r="393">
      <c r="A393" s="8" t="n"/>
      <c r="B393" s="9" t="n"/>
      <c r="C393" s="10" t="n"/>
      <c r="D393" s="9" t="n"/>
      <c r="E393" s="9" t="n"/>
      <c r="F393" s="9" t="n"/>
      <c r="G393" s="4" t="n"/>
      <c r="H393" s="5" t="n"/>
      <c r="I393" s="4" t="n"/>
      <c r="J393" s="4" t="n"/>
      <c r="K393" s="4" t="n"/>
      <c r="L393" s="11">
        <f>IF($G393="","",IF($F393="",1,MAX(1,COUNTIF($F$6:$F$505,$F393)-COUNTIFS($F$6:$F$505,$F393,$S$6:$S$505,"見送り"))))</f>
        <v/>
      </c>
      <c r="M393" s="12">
        <f>IF($G393="","",IF($K393="",'設定'!$C$6,$K393)/$L393)</f>
        <v/>
      </c>
      <c r="N393" s="12">
        <f>IF(OR($G393="",$I393=""),"",$I393-$G393-$M393-$J393)</f>
        <v/>
      </c>
      <c r="O393" s="13">
        <f>IF($N393="","",IF($G393&gt;0,$N393/$G393,0))</f>
        <v/>
      </c>
      <c r="P393" s="12">
        <f>IF($G393="","",$G393*$H393)</f>
        <v/>
      </c>
      <c r="Q393" s="12">
        <f>IF($N393="","",$N393-$I393*'設定'!$C$7)</f>
        <v/>
      </c>
      <c r="R393" s="14">
        <f>IF($N393="","",IF(AND($N393&gt;='設定'!$C$4,$O393&gt;='設定'!$C$5),IF($Q393&gt;=0,"仕入れOK","OK・下落に弱い"),"見送り"))</f>
        <v/>
      </c>
      <c r="S393" s="9" t="n"/>
      <c r="T393" s="8" t="n"/>
      <c r="U393" s="4" t="n"/>
      <c r="V393" s="8" t="n"/>
      <c r="W393" s="12">
        <f>IF(OR($G393="",$U393=""),"",$U393-$G393-$M393-$J393)</f>
        <v/>
      </c>
      <c r="X393" s="12">
        <f>IF(OR($I393="",$U393=""),"",$I393-$U393)</f>
        <v/>
      </c>
      <c r="Y393" s="11">
        <f>IF(OR($T393="",$V393=""),"",$V393-$T393)</f>
        <v/>
      </c>
      <c r="Z393" s="11">
        <f>IF(OR($S393="未発送",$S393="発送済",$S393="査定済",$S393="入金済"),1,0)</f>
        <v/>
      </c>
      <c r="AA393" s="11">
        <f>IF($U393="",0,1)</f>
        <v/>
      </c>
    </row>
    <row r="394">
      <c r="A394" s="8" t="n"/>
      <c r="B394" s="9" t="n"/>
      <c r="C394" s="10" t="n"/>
      <c r="D394" s="9" t="n"/>
      <c r="E394" s="9" t="n"/>
      <c r="F394" s="9" t="n"/>
      <c r="G394" s="4" t="n"/>
      <c r="H394" s="5" t="n"/>
      <c r="I394" s="4" t="n"/>
      <c r="J394" s="4" t="n"/>
      <c r="K394" s="4" t="n"/>
      <c r="L394" s="11">
        <f>IF($G394="","",IF($F394="",1,MAX(1,COUNTIF($F$6:$F$505,$F394)-COUNTIFS($F$6:$F$505,$F394,$S$6:$S$505,"見送り"))))</f>
        <v/>
      </c>
      <c r="M394" s="12">
        <f>IF($G394="","",IF($K394="",'設定'!$C$6,$K394)/$L394)</f>
        <v/>
      </c>
      <c r="N394" s="12">
        <f>IF(OR($G394="",$I394=""),"",$I394-$G394-$M394-$J394)</f>
        <v/>
      </c>
      <c r="O394" s="13">
        <f>IF($N394="","",IF($G394&gt;0,$N394/$G394,0))</f>
        <v/>
      </c>
      <c r="P394" s="12">
        <f>IF($G394="","",$G394*$H394)</f>
        <v/>
      </c>
      <c r="Q394" s="12">
        <f>IF($N394="","",$N394-$I394*'設定'!$C$7)</f>
        <v/>
      </c>
      <c r="R394" s="14">
        <f>IF($N394="","",IF(AND($N394&gt;='設定'!$C$4,$O394&gt;='設定'!$C$5),IF($Q394&gt;=0,"仕入れOK","OK・下落に弱い"),"見送り"))</f>
        <v/>
      </c>
      <c r="S394" s="9" t="n"/>
      <c r="T394" s="8" t="n"/>
      <c r="U394" s="4" t="n"/>
      <c r="V394" s="8" t="n"/>
      <c r="W394" s="12">
        <f>IF(OR($G394="",$U394=""),"",$U394-$G394-$M394-$J394)</f>
        <v/>
      </c>
      <c r="X394" s="12">
        <f>IF(OR($I394="",$U394=""),"",$I394-$U394)</f>
        <v/>
      </c>
      <c r="Y394" s="11">
        <f>IF(OR($T394="",$V394=""),"",$V394-$T394)</f>
        <v/>
      </c>
      <c r="Z394" s="11">
        <f>IF(OR($S394="未発送",$S394="発送済",$S394="査定済",$S394="入金済"),1,0)</f>
        <v/>
      </c>
      <c r="AA394" s="11">
        <f>IF($U394="",0,1)</f>
        <v/>
      </c>
    </row>
    <row r="395">
      <c r="A395" s="8" t="n"/>
      <c r="B395" s="9" t="n"/>
      <c r="C395" s="10" t="n"/>
      <c r="D395" s="9" t="n"/>
      <c r="E395" s="9" t="n"/>
      <c r="F395" s="9" t="n"/>
      <c r="G395" s="4" t="n"/>
      <c r="H395" s="5" t="n"/>
      <c r="I395" s="4" t="n"/>
      <c r="J395" s="4" t="n"/>
      <c r="K395" s="4" t="n"/>
      <c r="L395" s="11">
        <f>IF($G395="","",IF($F395="",1,MAX(1,COUNTIF($F$6:$F$505,$F395)-COUNTIFS($F$6:$F$505,$F395,$S$6:$S$505,"見送り"))))</f>
        <v/>
      </c>
      <c r="M395" s="12">
        <f>IF($G395="","",IF($K395="",'設定'!$C$6,$K395)/$L395)</f>
        <v/>
      </c>
      <c r="N395" s="12">
        <f>IF(OR($G395="",$I395=""),"",$I395-$G395-$M395-$J395)</f>
        <v/>
      </c>
      <c r="O395" s="13">
        <f>IF($N395="","",IF($G395&gt;0,$N395/$G395,0))</f>
        <v/>
      </c>
      <c r="P395" s="12">
        <f>IF($G395="","",$G395*$H395)</f>
        <v/>
      </c>
      <c r="Q395" s="12">
        <f>IF($N395="","",$N395-$I395*'設定'!$C$7)</f>
        <v/>
      </c>
      <c r="R395" s="14">
        <f>IF($N395="","",IF(AND($N395&gt;='設定'!$C$4,$O395&gt;='設定'!$C$5),IF($Q395&gt;=0,"仕入れOK","OK・下落に弱い"),"見送り"))</f>
        <v/>
      </c>
      <c r="S395" s="9" t="n"/>
      <c r="T395" s="8" t="n"/>
      <c r="U395" s="4" t="n"/>
      <c r="V395" s="8" t="n"/>
      <c r="W395" s="12">
        <f>IF(OR($G395="",$U395=""),"",$U395-$G395-$M395-$J395)</f>
        <v/>
      </c>
      <c r="X395" s="12">
        <f>IF(OR($I395="",$U395=""),"",$I395-$U395)</f>
        <v/>
      </c>
      <c r="Y395" s="11">
        <f>IF(OR($T395="",$V395=""),"",$V395-$T395)</f>
        <v/>
      </c>
      <c r="Z395" s="11">
        <f>IF(OR($S395="未発送",$S395="発送済",$S395="査定済",$S395="入金済"),1,0)</f>
        <v/>
      </c>
      <c r="AA395" s="11">
        <f>IF($U395="",0,1)</f>
        <v/>
      </c>
    </row>
    <row r="396">
      <c r="A396" s="8" t="n"/>
      <c r="B396" s="9" t="n"/>
      <c r="C396" s="10" t="n"/>
      <c r="D396" s="9" t="n"/>
      <c r="E396" s="9" t="n"/>
      <c r="F396" s="9" t="n"/>
      <c r="G396" s="4" t="n"/>
      <c r="H396" s="5" t="n"/>
      <c r="I396" s="4" t="n"/>
      <c r="J396" s="4" t="n"/>
      <c r="K396" s="4" t="n"/>
      <c r="L396" s="11">
        <f>IF($G396="","",IF($F396="",1,MAX(1,COUNTIF($F$6:$F$505,$F396)-COUNTIFS($F$6:$F$505,$F396,$S$6:$S$505,"見送り"))))</f>
        <v/>
      </c>
      <c r="M396" s="12">
        <f>IF($G396="","",IF($K396="",'設定'!$C$6,$K396)/$L396)</f>
        <v/>
      </c>
      <c r="N396" s="12">
        <f>IF(OR($G396="",$I396=""),"",$I396-$G396-$M396-$J396)</f>
        <v/>
      </c>
      <c r="O396" s="13">
        <f>IF($N396="","",IF($G396&gt;0,$N396/$G396,0))</f>
        <v/>
      </c>
      <c r="P396" s="12">
        <f>IF($G396="","",$G396*$H396)</f>
        <v/>
      </c>
      <c r="Q396" s="12">
        <f>IF($N396="","",$N396-$I396*'設定'!$C$7)</f>
        <v/>
      </c>
      <c r="R396" s="14">
        <f>IF($N396="","",IF(AND($N396&gt;='設定'!$C$4,$O396&gt;='設定'!$C$5),IF($Q396&gt;=0,"仕入れOK","OK・下落に弱い"),"見送り"))</f>
        <v/>
      </c>
      <c r="S396" s="9" t="n"/>
      <c r="T396" s="8" t="n"/>
      <c r="U396" s="4" t="n"/>
      <c r="V396" s="8" t="n"/>
      <c r="W396" s="12">
        <f>IF(OR($G396="",$U396=""),"",$U396-$G396-$M396-$J396)</f>
        <v/>
      </c>
      <c r="X396" s="12">
        <f>IF(OR($I396="",$U396=""),"",$I396-$U396)</f>
        <v/>
      </c>
      <c r="Y396" s="11">
        <f>IF(OR($T396="",$V396=""),"",$V396-$T396)</f>
        <v/>
      </c>
      <c r="Z396" s="11">
        <f>IF(OR($S396="未発送",$S396="発送済",$S396="査定済",$S396="入金済"),1,0)</f>
        <v/>
      </c>
      <c r="AA396" s="11">
        <f>IF($U396="",0,1)</f>
        <v/>
      </c>
    </row>
    <row r="397">
      <c r="A397" s="8" t="n"/>
      <c r="B397" s="9" t="n"/>
      <c r="C397" s="10" t="n"/>
      <c r="D397" s="9" t="n"/>
      <c r="E397" s="9" t="n"/>
      <c r="F397" s="9" t="n"/>
      <c r="G397" s="4" t="n"/>
      <c r="H397" s="5" t="n"/>
      <c r="I397" s="4" t="n"/>
      <c r="J397" s="4" t="n"/>
      <c r="K397" s="4" t="n"/>
      <c r="L397" s="11">
        <f>IF($G397="","",IF($F397="",1,MAX(1,COUNTIF($F$6:$F$505,$F397)-COUNTIFS($F$6:$F$505,$F397,$S$6:$S$505,"見送り"))))</f>
        <v/>
      </c>
      <c r="M397" s="12">
        <f>IF($G397="","",IF($K397="",'設定'!$C$6,$K397)/$L397)</f>
        <v/>
      </c>
      <c r="N397" s="12">
        <f>IF(OR($G397="",$I397=""),"",$I397-$G397-$M397-$J397)</f>
        <v/>
      </c>
      <c r="O397" s="13">
        <f>IF($N397="","",IF($G397&gt;0,$N397/$G397,0))</f>
        <v/>
      </c>
      <c r="P397" s="12">
        <f>IF($G397="","",$G397*$H397)</f>
        <v/>
      </c>
      <c r="Q397" s="12">
        <f>IF($N397="","",$N397-$I397*'設定'!$C$7)</f>
        <v/>
      </c>
      <c r="R397" s="14">
        <f>IF($N397="","",IF(AND($N397&gt;='設定'!$C$4,$O397&gt;='設定'!$C$5),IF($Q397&gt;=0,"仕入れOK","OK・下落に弱い"),"見送り"))</f>
        <v/>
      </c>
      <c r="S397" s="9" t="n"/>
      <c r="T397" s="8" t="n"/>
      <c r="U397" s="4" t="n"/>
      <c r="V397" s="8" t="n"/>
      <c r="W397" s="12">
        <f>IF(OR($G397="",$U397=""),"",$U397-$G397-$M397-$J397)</f>
        <v/>
      </c>
      <c r="X397" s="12">
        <f>IF(OR($I397="",$U397=""),"",$I397-$U397)</f>
        <v/>
      </c>
      <c r="Y397" s="11">
        <f>IF(OR($T397="",$V397=""),"",$V397-$T397)</f>
        <v/>
      </c>
      <c r="Z397" s="11">
        <f>IF(OR($S397="未発送",$S397="発送済",$S397="査定済",$S397="入金済"),1,0)</f>
        <v/>
      </c>
      <c r="AA397" s="11">
        <f>IF($U397="",0,1)</f>
        <v/>
      </c>
    </row>
    <row r="398">
      <c r="A398" s="8" t="n"/>
      <c r="B398" s="9" t="n"/>
      <c r="C398" s="10" t="n"/>
      <c r="D398" s="9" t="n"/>
      <c r="E398" s="9" t="n"/>
      <c r="F398" s="9" t="n"/>
      <c r="G398" s="4" t="n"/>
      <c r="H398" s="5" t="n"/>
      <c r="I398" s="4" t="n"/>
      <c r="J398" s="4" t="n"/>
      <c r="K398" s="4" t="n"/>
      <c r="L398" s="11">
        <f>IF($G398="","",IF($F398="",1,MAX(1,COUNTIF($F$6:$F$505,$F398)-COUNTIFS($F$6:$F$505,$F398,$S$6:$S$505,"見送り"))))</f>
        <v/>
      </c>
      <c r="M398" s="12">
        <f>IF($G398="","",IF($K398="",'設定'!$C$6,$K398)/$L398)</f>
        <v/>
      </c>
      <c r="N398" s="12">
        <f>IF(OR($G398="",$I398=""),"",$I398-$G398-$M398-$J398)</f>
        <v/>
      </c>
      <c r="O398" s="13">
        <f>IF($N398="","",IF($G398&gt;0,$N398/$G398,0))</f>
        <v/>
      </c>
      <c r="P398" s="12">
        <f>IF($G398="","",$G398*$H398)</f>
        <v/>
      </c>
      <c r="Q398" s="12">
        <f>IF($N398="","",$N398-$I398*'設定'!$C$7)</f>
        <v/>
      </c>
      <c r="R398" s="14">
        <f>IF($N398="","",IF(AND($N398&gt;='設定'!$C$4,$O398&gt;='設定'!$C$5),IF($Q398&gt;=0,"仕入れOK","OK・下落に弱い"),"見送り"))</f>
        <v/>
      </c>
      <c r="S398" s="9" t="n"/>
      <c r="T398" s="8" t="n"/>
      <c r="U398" s="4" t="n"/>
      <c r="V398" s="8" t="n"/>
      <c r="W398" s="12">
        <f>IF(OR($G398="",$U398=""),"",$U398-$G398-$M398-$J398)</f>
        <v/>
      </c>
      <c r="X398" s="12">
        <f>IF(OR($I398="",$U398=""),"",$I398-$U398)</f>
        <v/>
      </c>
      <c r="Y398" s="11">
        <f>IF(OR($T398="",$V398=""),"",$V398-$T398)</f>
        <v/>
      </c>
      <c r="Z398" s="11">
        <f>IF(OR($S398="未発送",$S398="発送済",$S398="査定済",$S398="入金済"),1,0)</f>
        <v/>
      </c>
      <c r="AA398" s="11">
        <f>IF($U398="",0,1)</f>
        <v/>
      </c>
    </row>
    <row r="399">
      <c r="A399" s="8" t="n"/>
      <c r="B399" s="9" t="n"/>
      <c r="C399" s="10" t="n"/>
      <c r="D399" s="9" t="n"/>
      <c r="E399" s="9" t="n"/>
      <c r="F399" s="9" t="n"/>
      <c r="G399" s="4" t="n"/>
      <c r="H399" s="5" t="n"/>
      <c r="I399" s="4" t="n"/>
      <c r="J399" s="4" t="n"/>
      <c r="K399" s="4" t="n"/>
      <c r="L399" s="11">
        <f>IF($G399="","",IF($F399="",1,MAX(1,COUNTIF($F$6:$F$505,$F399)-COUNTIFS($F$6:$F$505,$F399,$S$6:$S$505,"見送り"))))</f>
        <v/>
      </c>
      <c r="M399" s="12">
        <f>IF($G399="","",IF($K399="",'設定'!$C$6,$K399)/$L399)</f>
        <v/>
      </c>
      <c r="N399" s="12">
        <f>IF(OR($G399="",$I399=""),"",$I399-$G399-$M399-$J399)</f>
        <v/>
      </c>
      <c r="O399" s="13">
        <f>IF($N399="","",IF($G399&gt;0,$N399/$G399,0))</f>
        <v/>
      </c>
      <c r="P399" s="12">
        <f>IF($G399="","",$G399*$H399)</f>
        <v/>
      </c>
      <c r="Q399" s="12">
        <f>IF($N399="","",$N399-$I399*'設定'!$C$7)</f>
        <v/>
      </c>
      <c r="R399" s="14">
        <f>IF($N399="","",IF(AND($N399&gt;='設定'!$C$4,$O399&gt;='設定'!$C$5),IF($Q399&gt;=0,"仕入れOK","OK・下落に弱い"),"見送り"))</f>
        <v/>
      </c>
      <c r="S399" s="9" t="n"/>
      <c r="T399" s="8" t="n"/>
      <c r="U399" s="4" t="n"/>
      <c r="V399" s="8" t="n"/>
      <c r="W399" s="12">
        <f>IF(OR($G399="",$U399=""),"",$U399-$G399-$M399-$J399)</f>
        <v/>
      </c>
      <c r="X399" s="12">
        <f>IF(OR($I399="",$U399=""),"",$I399-$U399)</f>
        <v/>
      </c>
      <c r="Y399" s="11">
        <f>IF(OR($T399="",$V399=""),"",$V399-$T399)</f>
        <v/>
      </c>
      <c r="Z399" s="11">
        <f>IF(OR($S399="未発送",$S399="発送済",$S399="査定済",$S399="入金済"),1,0)</f>
        <v/>
      </c>
      <c r="AA399" s="11">
        <f>IF($U399="",0,1)</f>
        <v/>
      </c>
    </row>
    <row r="400">
      <c r="A400" s="8" t="n"/>
      <c r="B400" s="9" t="n"/>
      <c r="C400" s="10" t="n"/>
      <c r="D400" s="9" t="n"/>
      <c r="E400" s="9" t="n"/>
      <c r="F400" s="9" t="n"/>
      <c r="G400" s="4" t="n"/>
      <c r="H400" s="5" t="n"/>
      <c r="I400" s="4" t="n"/>
      <c r="J400" s="4" t="n"/>
      <c r="K400" s="4" t="n"/>
      <c r="L400" s="11">
        <f>IF($G400="","",IF($F400="",1,MAX(1,COUNTIF($F$6:$F$505,$F400)-COUNTIFS($F$6:$F$505,$F400,$S$6:$S$505,"見送り"))))</f>
        <v/>
      </c>
      <c r="M400" s="12">
        <f>IF($G400="","",IF($K400="",'設定'!$C$6,$K400)/$L400)</f>
        <v/>
      </c>
      <c r="N400" s="12">
        <f>IF(OR($G400="",$I400=""),"",$I400-$G400-$M400-$J400)</f>
        <v/>
      </c>
      <c r="O400" s="13">
        <f>IF($N400="","",IF($G400&gt;0,$N400/$G400,0))</f>
        <v/>
      </c>
      <c r="P400" s="12">
        <f>IF($G400="","",$G400*$H400)</f>
        <v/>
      </c>
      <c r="Q400" s="12">
        <f>IF($N400="","",$N400-$I400*'設定'!$C$7)</f>
        <v/>
      </c>
      <c r="R400" s="14">
        <f>IF($N400="","",IF(AND($N400&gt;='設定'!$C$4,$O400&gt;='設定'!$C$5),IF($Q400&gt;=0,"仕入れOK","OK・下落に弱い"),"見送り"))</f>
        <v/>
      </c>
      <c r="S400" s="9" t="n"/>
      <c r="T400" s="8" t="n"/>
      <c r="U400" s="4" t="n"/>
      <c r="V400" s="8" t="n"/>
      <c r="W400" s="12">
        <f>IF(OR($G400="",$U400=""),"",$U400-$G400-$M400-$J400)</f>
        <v/>
      </c>
      <c r="X400" s="12">
        <f>IF(OR($I400="",$U400=""),"",$I400-$U400)</f>
        <v/>
      </c>
      <c r="Y400" s="11">
        <f>IF(OR($T400="",$V400=""),"",$V400-$T400)</f>
        <v/>
      </c>
      <c r="Z400" s="11">
        <f>IF(OR($S400="未発送",$S400="発送済",$S400="査定済",$S400="入金済"),1,0)</f>
        <v/>
      </c>
      <c r="AA400" s="11">
        <f>IF($U400="",0,1)</f>
        <v/>
      </c>
    </row>
    <row r="401">
      <c r="A401" s="8" t="n"/>
      <c r="B401" s="9" t="n"/>
      <c r="C401" s="10" t="n"/>
      <c r="D401" s="9" t="n"/>
      <c r="E401" s="9" t="n"/>
      <c r="F401" s="9" t="n"/>
      <c r="G401" s="4" t="n"/>
      <c r="H401" s="5" t="n"/>
      <c r="I401" s="4" t="n"/>
      <c r="J401" s="4" t="n"/>
      <c r="K401" s="4" t="n"/>
      <c r="L401" s="11">
        <f>IF($G401="","",IF($F401="",1,MAX(1,COUNTIF($F$6:$F$505,$F401)-COUNTIFS($F$6:$F$505,$F401,$S$6:$S$505,"見送り"))))</f>
        <v/>
      </c>
      <c r="M401" s="12">
        <f>IF($G401="","",IF($K401="",'設定'!$C$6,$K401)/$L401)</f>
        <v/>
      </c>
      <c r="N401" s="12">
        <f>IF(OR($G401="",$I401=""),"",$I401-$G401-$M401-$J401)</f>
        <v/>
      </c>
      <c r="O401" s="13">
        <f>IF($N401="","",IF($G401&gt;0,$N401/$G401,0))</f>
        <v/>
      </c>
      <c r="P401" s="12">
        <f>IF($G401="","",$G401*$H401)</f>
        <v/>
      </c>
      <c r="Q401" s="12">
        <f>IF($N401="","",$N401-$I401*'設定'!$C$7)</f>
        <v/>
      </c>
      <c r="R401" s="14">
        <f>IF($N401="","",IF(AND($N401&gt;='設定'!$C$4,$O401&gt;='設定'!$C$5),IF($Q401&gt;=0,"仕入れOK","OK・下落に弱い"),"見送り"))</f>
        <v/>
      </c>
      <c r="S401" s="9" t="n"/>
      <c r="T401" s="8" t="n"/>
      <c r="U401" s="4" t="n"/>
      <c r="V401" s="8" t="n"/>
      <c r="W401" s="12">
        <f>IF(OR($G401="",$U401=""),"",$U401-$G401-$M401-$J401)</f>
        <v/>
      </c>
      <c r="X401" s="12">
        <f>IF(OR($I401="",$U401=""),"",$I401-$U401)</f>
        <v/>
      </c>
      <c r="Y401" s="11">
        <f>IF(OR($T401="",$V401=""),"",$V401-$T401)</f>
        <v/>
      </c>
      <c r="Z401" s="11">
        <f>IF(OR($S401="未発送",$S401="発送済",$S401="査定済",$S401="入金済"),1,0)</f>
        <v/>
      </c>
      <c r="AA401" s="11">
        <f>IF($U401="",0,1)</f>
        <v/>
      </c>
    </row>
    <row r="402">
      <c r="A402" s="8" t="n"/>
      <c r="B402" s="9" t="n"/>
      <c r="C402" s="10" t="n"/>
      <c r="D402" s="9" t="n"/>
      <c r="E402" s="9" t="n"/>
      <c r="F402" s="9" t="n"/>
      <c r="G402" s="4" t="n"/>
      <c r="H402" s="5" t="n"/>
      <c r="I402" s="4" t="n"/>
      <c r="J402" s="4" t="n"/>
      <c r="K402" s="4" t="n"/>
      <c r="L402" s="11">
        <f>IF($G402="","",IF($F402="",1,MAX(1,COUNTIF($F$6:$F$505,$F402)-COUNTIFS($F$6:$F$505,$F402,$S$6:$S$505,"見送り"))))</f>
        <v/>
      </c>
      <c r="M402" s="12">
        <f>IF($G402="","",IF($K402="",'設定'!$C$6,$K402)/$L402)</f>
        <v/>
      </c>
      <c r="N402" s="12">
        <f>IF(OR($G402="",$I402=""),"",$I402-$G402-$M402-$J402)</f>
        <v/>
      </c>
      <c r="O402" s="13">
        <f>IF($N402="","",IF($G402&gt;0,$N402/$G402,0))</f>
        <v/>
      </c>
      <c r="P402" s="12">
        <f>IF($G402="","",$G402*$H402)</f>
        <v/>
      </c>
      <c r="Q402" s="12">
        <f>IF($N402="","",$N402-$I402*'設定'!$C$7)</f>
        <v/>
      </c>
      <c r="R402" s="14">
        <f>IF($N402="","",IF(AND($N402&gt;='設定'!$C$4,$O402&gt;='設定'!$C$5),IF($Q402&gt;=0,"仕入れOK","OK・下落に弱い"),"見送り"))</f>
        <v/>
      </c>
      <c r="S402" s="9" t="n"/>
      <c r="T402" s="8" t="n"/>
      <c r="U402" s="4" t="n"/>
      <c r="V402" s="8" t="n"/>
      <c r="W402" s="12">
        <f>IF(OR($G402="",$U402=""),"",$U402-$G402-$M402-$J402)</f>
        <v/>
      </c>
      <c r="X402" s="12">
        <f>IF(OR($I402="",$U402=""),"",$I402-$U402)</f>
        <v/>
      </c>
      <c r="Y402" s="11">
        <f>IF(OR($T402="",$V402=""),"",$V402-$T402)</f>
        <v/>
      </c>
      <c r="Z402" s="11">
        <f>IF(OR($S402="未発送",$S402="発送済",$S402="査定済",$S402="入金済"),1,0)</f>
        <v/>
      </c>
      <c r="AA402" s="11">
        <f>IF($U402="",0,1)</f>
        <v/>
      </c>
    </row>
    <row r="403">
      <c r="A403" s="8" t="n"/>
      <c r="B403" s="9" t="n"/>
      <c r="C403" s="10" t="n"/>
      <c r="D403" s="9" t="n"/>
      <c r="E403" s="9" t="n"/>
      <c r="F403" s="9" t="n"/>
      <c r="G403" s="4" t="n"/>
      <c r="H403" s="5" t="n"/>
      <c r="I403" s="4" t="n"/>
      <c r="J403" s="4" t="n"/>
      <c r="K403" s="4" t="n"/>
      <c r="L403" s="11">
        <f>IF($G403="","",IF($F403="",1,MAX(1,COUNTIF($F$6:$F$505,$F403)-COUNTIFS($F$6:$F$505,$F403,$S$6:$S$505,"見送り"))))</f>
        <v/>
      </c>
      <c r="M403" s="12">
        <f>IF($G403="","",IF($K403="",'設定'!$C$6,$K403)/$L403)</f>
        <v/>
      </c>
      <c r="N403" s="12">
        <f>IF(OR($G403="",$I403=""),"",$I403-$G403-$M403-$J403)</f>
        <v/>
      </c>
      <c r="O403" s="13">
        <f>IF($N403="","",IF($G403&gt;0,$N403/$G403,0))</f>
        <v/>
      </c>
      <c r="P403" s="12">
        <f>IF($G403="","",$G403*$H403)</f>
        <v/>
      </c>
      <c r="Q403" s="12">
        <f>IF($N403="","",$N403-$I403*'設定'!$C$7)</f>
        <v/>
      </c>
      <c r="R403" s="14">
        <f>IF($N403="","",IF(AND($N403&gt;='設定'!$C$4,$O403&gt;='設定'!$C$5),IF($Q403&gt;=0,"仕入れOK","OK・下落に弱い"),"見送り"))</f>
        <v/>
      </c>
      <c r="S403" s="9" t="n"/>
      <c r="T403" s="8" t="n"/>
      <c r="U403" s="4" t="n"/>
      <c r="V403" s="8" t="n"/>
      <c r="W403" s="12">
        <f>IF(OR($G403="",$U403=""),"",$U403-$G403-$M403-$J403)</f>
        <v/>
      </c>
      <c r="X403" s="12">
        <f>IF(OR($I403="",$U403=""),"",$I403-$U403)</f>
        <v/>
      </c>
      <c r="Y403" s="11">
        <f>IF(OR($T403="",$V403=""),"",$V403-$T403)</f>
        <v/>
      </c>
      <c r="Z403" s="11">
        <f>IF(OR($S403="未発送",$S403="発送済",$S403="査定済",$S403="入金済"),1,0)</f>
        <v/>
      </c>
      <c r="AA403" s="11">
        <f>IF($U403="",0,1)</f>
        <v/>
      </c>
    </row>
    <row r="404">
      <c r="A404" s="8" t="n"/>
      <c r="B404" s="9" t="n"/>
      <c r="C404" s="10" t="n"/>
      <c r="D404" s="9" t="n"/>
      <c r="E404" s="9" t="n"/>
      <c r="F404" s="9" t="n"/>
      <c r="G404" s="4" t="n"/>
      <c r="H404" s="5" t="n"/>
      <c r="I404" s="4" t="n"/>
      <c r="J404" s="4" t="n"/>
      <c r="K404" s="4" t="n"/>
      <c r="L404" s="11">
        <f>IF($G404="","",IF($F404="",1,MAX(1,COUNTIF($F$6:$F$505,$F404)-COUNTIFS($F$6:$F$505,$F404,$S$6:$S$505,"見送り"))))</f>
        <v/>
      </c>
      <c r="M404" s="12">
        <f>IF($G404="","",IF($K404="",'設定'!$C$6,$K404)/$L404)</f>
        <v/>
      </c>
      <c r="N404" s="12">
        <f>IF(OR($G404="",$I404=""),"",$I404-$G404-$M404-$J404)</f>
        <v/>
      </c>
      <c r="O404" s="13">
        <f>IF($N404="","",IF($G404&gt;0,$N404/$G404,0))</f>
        <v/>
      </c>
      <c r="P404" s="12">
        <f>IF($G404="","",$G404*$H404)</f>
        <v/>
      </c>
      <c r="Q404" s="12">
        <f>IF($N404="","",$N404-$I404*'設定'!$C$7)</f>
        <v/>
      </c>
      <c r="R404" s="14">
        <f>IF($N404="","",IF(AND($N404&gt;='設定'!$C$4,$O404&gt;='設定'!$C$5),IF($Q404&gt;=0,"仕入れOK","OK・下落に弱い"),"見送り"))</f>
        <v/>
      </c>
      <c r="S404" s="9" t="n"/>
      <c r="T404" s="8" t="n"/>
      <c r="U404" s="4" t="n"/>
      <c r="V404" s="8" t="n"/>
      <c r="W404" s="12">
        <f>IF(OR($G404="",$U404=""),"",$U404-$G404-$M404-$J404)</f>
        <v/>
      </c>
      <c r="X404" s="12">
        <f>IF(OR($I404="",$U404=""),"",$I404-$U404)</f>
        <v/>
      </c>
      <c r="Y404" s="11">
        <f>IF(OR($T404="",$V404=""),"",$V404-$T404)</f>
        <v/>
      </c>
      <c r="Z404" s="11">
        <f>IF(OR($S404="未発送",$S404="発送済",$S404="査定済",$S404="入金済"),1,0)</f>
        <v/>
      </c>
      <c r="AA404" s="11">
        <f>IF($U404="",0,1)</f>
        <v/>
      </c>
    </row>
    <row r="405">
      <c r="A405" s="8" t="n"/>
      <c r="B405" s="9" t="n"/>
      <c r="C405" s="10" t="n"/>
      <c r="D405" s="9" t="n"/>
      <c r="E405" s="9" t="n"/>
      <c r="F405" s="9" t="n"/>
      <c r="G405" s="4" t="n"/>
      <c r="H405" s="5" t="n"/>
      <c r="I405" s="4" t="n"/>
      <c r="J405" s="4" t="n"/>
      <c r="K405" s="4" t="n"/>
      <c r="L405" s="11">
        <f>IF($G405="","",IF($F405="",1,MAX(1,COUNTIF($F$6:$F$505,$F405)-COUNTIFS($F$6:$F$505,$F405,$S$6:$S$505,"見送り"))))</f>
        <v/>
      </c>
      <c r="M405" s="12">
        <f>IF($G405="","",IF($K405="",'設定'!$C$6,$K405)/$L405)</f>
        <v/>
      </c>
      <c r="N405" s="12">
        <f>IF(OR($G405="",$I405=""),"",$I405-$G405-$M405-$J405)</f>
        <v/>
      </c>
      <c r="O405" s="13">
        <f>IF($N405="","",IF($G405&gt;0,$N405/$G405,0))</f>
        <v/>
      </c>
      <c r="P405" s="12">
        <f>IF($G405="","",$G405*$H405)</f>
        <v/>
      </c>
      <c r="Q405" s="12">
        <f>IF($N405="","",$N405-$I405*'設定'!$C$7)</f>
        <v/>
      </c>
      <c r="R405" s="14">
        <f>IF($N405="","",IF(AND($N405&gt;='設定'!$C$4,$O405&gt;='設定'!$C$5),IF($Q405&gt;=0,"仕入れOK","OK・下落に弱い"),"見送り"))</f>
        <v/>
      </c>
      <c r="S405" s="9" t="n"/>
      <c r="T405" s="8" t="n"/>
      <c r="U405" s="4" t="n"/>
      <c r="V405" s="8" t="n"/>
      <c r="W405" s="12">
        <f>IF(OR($G405="",$U405=""),"",$U405-$G405-$M405-$J405)</f>
        <v/>
      </c>
      <c r="X405" s="12">
        <f>IF(OR($I405="",$U405=""),"",$I405-$U405)</f>
        <v/>
      </c>
      <c r="Y405" s="11">
        <f>IF(OR($T405="",$V405=""),"",$V405-$T405)</f>
        <v/>
      </c>
      <c r="Z405" s="11">
        <f>IF(OR($S405="未発送",$S405="発送済",$S405="査定済",$S405="入金済"),1,0)</f>
        <v/>
      </c>
      <c r="AA405" s="11">
        <f>IF($U405="",0,1)</f>
        <v/>
      </c>
    </row>
    <row r="406">
      <c r="A406" s="8" t="n"/>
      <c r="B406" s="9" t="n"/>
      <c r="C406" s="10" t="n"/>
      <c r="D406" s="9" t="n"/>
      <c r="E406" s="9" t="n"/>
      <c r="F406" s="9" t="n"/>
      <c r="G406" s="4" t="n"/>
      <c r="H406" s="5" t="n"/>
      <c r="I406" s="4" t="n"/>
      <c r="J406" s="4" t="n"/>
      <c r="K406" s="4" t="n"/>
      <c r="L406" s="11">
        <f>IF($G406="","",IF($F406="",1,MAX(1,COUNTIF($F$6:$F$505,$F406)-COUNTIFS($F$6:$F$505,$F406,$S$6:$S$505,"見送り"))))</f>
        <v/>
      </c>
      <c r="M406" s="12">
        <f>IF($G406="","",IF($K406="",'設定'!$C$6,$K406)/$L406)</f>
        <v/>
      </c>
      <c r="N406" s="12">
        <f>IF(OR($G406="",$I406=""),"",$I406-$G406-$M406-$J406)</f>
        <v/>
      </c>
      <c r="O406" s="13">
        <f>IF($N406="","",IF($G406&gt;0,$N406/$G406,0))</f>
        <v/>
      </c>
      <c r="P406" s="12">
        <f>IF($G406="","",$G406*$H406)</f>
        <v/>
      </c>
      <c r="Q406" s="12">
        <f>IF($N406="","",$N406-$I406*'設定'!$C$7)</f>
        <v/>
      </c>
      <c r="R406" s="14">
        <f>IF($N406="","",IF(AND($N406&gt;='設定'!$C$4,$O406&gt;='設定'!$C$5),IF($Q406&gt;=0,"仕入れOK","OK・下落に弱い"),"見送り"))</f>
        <v/>
      </c>
      <c r="S406" s="9" t="n"/>
      <c r="T406" s="8" t="n"/>
      <c r="U406" s="4" t="n"/>
      <c r="V406" s="8" t="n"/>
      <c r="W406" s="12">
        <f>IF(OR($G406="",$U406=""),"",$U406-$G406-$M406-$J406)</f>
        <v/>
      </c>
      <c r="X406" s="12">
        <f>IF(OR($I406="",$U406=""),"",$I406-$U406)</f>
        <v/>
      </c>
      <c r="Y406" s="11">
        <f>IF(OR($T406="",$V406=""),"",$V406-$T406)</f>
        <v/>
      </c>
      <c r="Z406" s="11">
        <f>IF(OR($S406="未発送",$S406="発送済",$S406="査定済",$S406="入金済"),1,0)</f>
        <v/>
      </c>
      <c r="AA406" s="11">
        <f>IF($U406="",0,1)</f>
        <v/>
      </c>
    </row>
    <row r="407">
      <c r="A407" s="8" t="n"/>
      <c r="B407" s="9" t="n"/>
      <c r="C407" s="10" t="n"/>
      <c r="D407" s="9" t="n"/>
      <c r="E407" s="9" t="n"/>
      <c r="F407" s="9" t="n"/>
      <c r="G407" s="4" t="n"/>
      <c r="H407" s="5" t="n"/>
      <c r="I407" s="4" t="n"/>
      <c r="J407" s="4" t="n"/>
      <c r="K407" s="4" t="n"/>
      <c r="L407" s="11">
        <f>IF($G407="","",IF($F407="",1,MAX(1,COUNTIF($F$6:$F$505,$F407)-COUNTIFS($F$6:$F$505,$F407,$S$6:$S$505,"見送り"))))</f>
        <v/>
      </c>
      <c r="M407" s="12">
        <f>IF($G407="","",IF($K407="",'設定'!$C$6,$K407)/$L407)</f>
        <v/>
      </c>
      <c r="N407" s="12">
        <f>IF(OR($G407="",$I407=""),"",$I407-$G407-$M407-$J407)</f>
        <v/>
      </c>
      <c r="O407" s="13">
        <f>IF($N407="","",IF($G407&gt;0,$N407/$G407,0))</f>
        <v/>
      </c>
      <c r="P407" s="12">
        <f>IF($G407="","",$G407*$H407)</f>
        <v/>
      </c>
      <c r="Q407" s="12">
        <f>IF($N407="","",$N407-$I407*'設定'!$C$7)</f>
        <v/>
      </c>
      <c r="R407" s="14">
        <f>IF($N407="","",IF(AND($N407&gt;='設定'!$C$4,$O407&gt;='設定'!$C$5),IF($Q407&gt;=0,"仕入れOK","OK・下落に弱い"),"見送り"))</f>
        <v/>
      </c>
      <c r="S407" s="9" t="n"/>
      <c r="T407" s="8" t="n"/>
      <c r="U407" s="4" t="n"/>
      <c r="V407" s="8" t="n"/>
      <c r="W407" s="12">
        <f>IF(OR($G407="",$U407=""),"",$U407-$G407-$M407-$J407)</f>
        <v/>
      </c>
      <c r="X407" s="12">
        <f>IF(OR($I407="",$U407=""),"",$I407-$U407)</f>
        <v/>
      </c>
      <c r="Y407" s="11">
        <f>IF(OR($T407="",$V407=""),"",$V407-$T407)</f>
        <v/>
      </c>
      <c r="Z407" s="11">
        <f>IF(OR($S407="未発送",$S407="発送済",$S407="査定済",$S407="入金済"),1,0)</f>
        <v/>
      </c>
      <c r="AA407" s="11">
        <f>IF($U407="",0,1)</f>
        <v/>
      </c>
    </row>
    <row r="408">
      <c r="A408" s="8" t="n"/>
      <c r="B408" s="9" t="n"/>
      <c r="C408" s="10" t="n"/>
      <c r="D408" s="9" t="n"/>
      <c r="E408" s="9" t="n"/>
      <c r="F408" s="9" t="n"/>
      <c r="G408" s="4" t="n"/>
      <c r="H408" s="5" t="n"/>
      <c r="I408" s="4" t="n"/>
      <c r="J408" s="4" t="n"/>
      <c r="K408" s="4" t="n"/>
      <c r="L408" s="11">
        <f>IF($G408="","",IF($F408="",1,MAX(1,COUNTIF($F$6:$F$505,$F408)-COUNTIFS($F$6:$F$505,$F408,$S$6:$S$505,"見送り"))))</f>
        <v/>
      </c>
      <c r="M408" s="12">
        <f>IF($G408="","",IF($K408="",'設定'!$C$6,$K408)/$L408)</f>
        <v/>
      </c>
      <c r="N408" s="12">
        <f>IF(OR($G408="",$I408=""),"",$I408-$G408-$M408-$J408)</f>
        <v/>
      </c>
      <c r="O408" s="13">
        <f>IF($N408="","",IF($G408&gt;0,$N408/$G408,0))</f>
        <v/>
      </c>
      <c r="P408" s="12">
        <f>IF($G408="","",$G408*$H408)</f>
        <v/>
      </c>
      <c r="Q408" s="12">
        <f>IF($N408="","",$N408-$I408*'設定'!$C$7)</f>
        <v/>
      </c>
      <c r="R408" s="14">
        <f>IF($N408="","",IF(AND($N408&gt;='設定'!$C$4,$O408&gt;='設定'!$C$5),IF($Q408&gt;=0,"仕入れOK","OK・下落に弱い"),"見送り"))</f>
        <v/>
      </c>
      <c r="S408" s="9" t="n"/>
      <c r="T408" s="8" t="n"/>
      <c r="U408" s="4" t="n"/>
      <c r="V408" s="8" t="n"/>
      <c r="W408" s="12">
        <f>IF(OR($G408="",$U408=""),"",$U408-$G408-$M408-$J408)</f>
        <v/>
      </c>
      <c r="X408" s="12">
        <f>IF(OR($I408="",$U408=""),"",$I408-$U408)</f>
        <v/>
      </c>
      <c r="Y408" s="11">
        <f>IF(OR($T408="",$V408=""),"",$V408-$T408)</f>
        <v/>
      </c>
      <c r="Z408" s="11">
        <f>IF(OR($S408="未発送",$S408="発送済",$S408="査定済",$S408="入金済"),1,0)</f>
        <v/>
      </c>
      <c r="AA408" s="11">
        <f>IF($U408="",0,1)</f>
        <v/>
      </c>
    </row>
    <row r="409">
      <c r="A409" s="8" t="n"/>
      <c r="B409" s="9" t="n"/>
      <c r="C409" s="10" t="n"/>
      <c r="D409" s="9" t="n"/>
      <c r="E409" s="9" t="n"/>
      <c r="F409" s="9" t="n"/>
      <c r="G409" s="4" t="n"/>
      <c r="H409" s="5" t="n"/>
      <c r="I409" s="4" t="n"/>
      <c r="J409" s="4" t="n"/>
      <c r="K409" s="4" t="n"/>
      <c r="L409" s="11">
        <f>IF($G409="","",IF($F409="",1,MAX(1,COUNTIF($F$6:$F$505,$F409)-COUNTIFS($F$6:$F$505,$F409,$S$6:$S$505,"見送り"))))</f>
        <v/>
      </c>
      <c r="M409" s="12">
        <f>IF($G409="","",IF($K409="",'設定'!$C$6,$K409)/$L409)</f>
        <v/>
      </c>
      <c r="N409" s="12">
        <f>IF(OR($G409="",$I409=""),"",$I409-$G409-$M409-$J409)</f>
        <v/>
      </c>
      <c r="O409" s="13">
        <f>IF($N409="","",IF($G409&gt;0,$N409/$G409,0))</f>
        <v/>
      </c>
      <c r="P409" s="12">
        <f>IF($G409="","",$G409*$H409)</f>
        <v/>
      </c>
      <c r="Q409" s="12">
        <f>IF($N409="","",$N409-$I409*'設定'!$C$7)</f>
        <v/>
      </c>
      <c r="R409" s="14">
        <f>IF($N409="","",IF(AND($N409&gt;='設定'!$C$4,$O409&gt;='設定'!$C$5),IF($Q409&gt;=0,"仕入れOK","OK・下落に弱い"),"見送り"))</f>
        <v/>
      </c>
      <c r="S409" s="9" t="n"/>
      <c r="T409" s="8" t="n"/>
      <c r="U409" s="4" t="n"/>
      <c r="V409" s="8" t="n"/>
      <c r="W409" s="12">
        <f>IF(OR($G409="",$U409=""),"",$U409-$G409-$M409-$J409)</f>
        <v/>
      </c>
      <c r="X409" s="12">
        <f>IF(OR($I409="",$U409=""),"",$I409-$U409)</f>
        <v/>
      </c>
      <c r="Y409" s="11">
        <f>IF(OR($T409="",$V409=""),"",$V409-$T409)</f>
        <v/>
      </c>
      <c r="Z409" s="11">
        <f>IF(OR($S409="未発送",$S409="発送済",$S409="査定済",$S409="入金済"),1,0)</f>
        <v/>
      </c>
      <c r="AA409" s="11">
        <f>IF($U409="",0,1)</f>
        <v/>
      </c>
    </row>
    <row r="410">
      <c r="A410" s="8" t="n"/>
      <c r="B410" s="9" t="n"/>
      <c r="C410" s="10" t="n"/>
      <c r="D410" s="9" t="n"/>
      <c r="E410" s="9" t="n"/>
      <c r="F410" s="9" t="n"/>
      <c r="G410" s="4" t="n"/>
      <c r="H410" s="5" t="n"/>
      <c r="I410" s="4" t="n"/>
      <c r="J410" s="4" t="n"/>
      <c r="K410" s="4" t="n"/>
      <c r="L410" s="11">
        <f>IF($G410="","",IF($F410="",1,MAX(1,COUNTIF($F$6:$F$505,$F410)-COUNTIFS($F$6:$F$505,$F410,$S$6:$S$505,"見送り"))))</f>
        <v/>
      </c>
      <c r="M410" s="12">
        <f>IF($G410="","",IF($K410="",'設定'!$C$6,$K410)/$L410)</f>
        <v/>
      </c>
      <c r="N410" s="12">
        <f>IF(OR($G410="",$I410=""),"",$I410-$G410-$M410-$J410)</f>
        <v/>
      </c>
      <c r="O410" s="13">
        <f>IF($N410="","",IF($G410&gt;0,$N410/$G410,0))</f>
        <v/>
      </c>
      <c r="P410" s="12">
        <f>IF($G410="","",$G410*$H410)</f>
        <v/>
      </c>
      <c r="Q410" s="12">
        <f>IF($N410="","",$N410-$I410*'設定'!$C$7)</f>
        <v/>
      </c>
      <c r="R410" s="14">
        <f>IF($N410="","",IF(AND($N410&gt;='設定'!$C$4,$O410&gt;='設定'!$C$5),IF($Q410&gt;=0,"仕入れOK","OK・下落に弱い"),"見送り"))</f>
        <v/>
      </c>
      <c r="S410" s="9" t="n"/>
      <c r="T410" s="8" t="n"/>
      <c r="U410" s="4" t="n"/>
      <c r="V410" s="8" t="n"/>
      <c r="W410" s="12">
        <f>IF(OR($G410="",$U410=""),"",$U410-$G410-$M410-$J410)</f>
        <v/>
      </c>
      <c r="X410" s="12">
        <f>IF(OR($I410="",$U410=""),"",$I410-$U410)</f>
        <v/>
      </c>
      <c r="Y410" s="11">
        <f>IF(OR($T410="",$V410=""),"",$V410-$T410)</f>
        <v/>
      </c>
      <c r="Z410" s="11">
        <f>IF(OR($S410="未発送",$S410="発送済",$S410="査定済",$S410="入金済"),1,0)</f>
        <v/>
      </c>
      <c r="AA410" s="11">
        <f>IF($U410="",0,1)</f>
        <v/>
      </c>
    </row>
    <row r="411">
      <c r="A411" s="8" t="n"/>
      <c r="B411" s="9" t="n"/>
      <c r="C411" s="10" t="n"/>
      <c r="D411" s="9" t="n"/>
      <c r="E411" s="9" t="n"/>
      <c r="F411" s="9" t="n"/>
      <c r="G411" s="4" t="n"/>
      <c r="H411" s="5" t="n"/>
      <c r="I411" s="4" t="n"/>
      <c r="J411" s="4" t="n"/>
      <c r="K411" s="4" t="n"/>
      <c r="L411" s="11">
        <f>IF($G411="","",IF($F411="",1,MAX(1,COUNTIF($F$6:$F$505,$F411)-COUNTIFS($F$6:$F$505,$F411,$S$6:$S$505,"見送り"))))</f>
        <v/>
      </c>
      <c r="M411" s="12">
        <f>IF($G411="","",IF($K411="",'設定'!$C$6,$K411)/$L411)</f>
        <v/>
      </c>
      <c r="N411" s="12">
        <f>IF(OR($G411="",$I411=""),"",$I411-$G411-$M411-$J411)</f>
        <v/>
      </c>
      <c r="O411" s="13">
        <f>IF($N411="","",IF($G411&gt;0,$N411/$G411,0))</f>
        <v/>
      </c>
      <c r="P411" s="12">
        <f>IF($G411="","",$G411*$H411)</f>
        <v/>
      </c>
      <c r="Q411" s="12">
        <f>IF($N411="","",$N411-$I411*'設定'!$C$7)</f>
        <v/>
      </c>
      <c r="R411" s="14">
        <f>IF($N411="","",IF(AND($N411&gt;='設定'!$C$4,$O411&gt;='設定'!$C$5),IF($Q411&gt;=0,"仕入れOK","OK・下落に弱い"),"見送り"))</f>
        <v/>
      </c>
      <c r="S411" s="9" t="n"/>
      <c r="T411" s="8" t="n"/>
      <c r="U411" s="4" t="n"/>
      <c r="V411" s="8" t="n"/>
      <c r="W411" s="12">
        <f>IF(OR($G411="",$U411=""),"",$U411-$G411-$M411-$J411)</f>
        <v/>
      </c>
      <c r="X411" s="12">
        <f>IF(OR($I411="",$U411=""),"",$I411-$U411)</f>
        <v/>
      </c>
      <c r="Y411" s="11">
        <f>IF(OR($T411="",$V411=""),"",$V411-$T411)</f>
        <v/>
      </c>
      <c r="Z411" s="11">
        <f>IF(OR($S411="未発送",$S411="発送済",$S411="査定済",$S411="入金済"),1,0)</f>
        <v/>
      </c>
      <c r="AA411" s="11">
        <f>IF($U411="",0,1)</f>
        <v/>
      </c>
    </row>
    <row r="412">
      <c r="A412" s="8" t="n"/>
      <c r="B412" s="9" t="n"/>
      <c r="C412" s="10" t="n"/>
      <c r="D412" s="9" t="n"/>
      <c r="E412" s="9" t="n"/>
      <c r="F412" s="9" t="n"/>
      <c r="G412" s="4" t="n"/>
      <c r="H412" s="5" t="n"/>
      <c r="I412" s="4" t="n"/>
      <c r="J412" s="4" t="n"/>
      <c r="K412" s="4" t="n"/>
      <c r="L412" s="11">
        <f>IF($G412="","",IF($F412="",1,MAX(1,COUNTIF($F$6:$F$505,$F412)-COUNTIFS($F$6:$F$505,$F412,$S$6:$S$505,"見送り"))))</f>
        <v/>
      </c>
      <c r="M412" s="12">
        <f>IF($G412="","",IF($K412="",'設定'!$C$6,$K412)/$L412)</f>
        <v/>
      </c>
      <c r="N412" s="12">
        <f>IF(OR($G412="",$I412=""),"",$I412-$G412-$M412-$J412)</f>
        <v/>
      </c>
      <c r="O412" s="13">
        <f>IF($N412="","",IF($G412&gt;0,$N412/$G412,0))</f>
        <v/>
      </c>
      <c r="P412" s="12">
        <f>IF($G412="","",$G412*$H412)</f>
        <v/>
      </c>
      <c r="Q412" s="12">
        <f>IF($N412="","",$N412-$I412*'設定'!$C$7)</f>
        <v/>
      </c>
      <c r="R412" s="14">
        <f>IF($N412="","",IF(AND($N412&gt;='設定'!$C$4,$O412&gt;='設定'!$C$5),IF($Q412&gt;=0,"仕入れOK","OK・下落に弱い"),"見送り"))</f>
        <v/>
      </c>
      <c r="S412" s="9" t="n"/>
      <c r="T412" s="8" t="n"/>
      <c r="U412" s="4" t="n"/>
      <c r="V412" s="8" t="n"/>
      <c r="W412" s="12">
        <f>IF(OR($G412="",$U412=""),"",$U412-$G412-$M412-$J412)</f>
        <v/>
      </c>
      <c r="X412" s="12">
        <f>IF(OR($I412="",$U412=""),"",$I412-$U412)</f>
        <v/>
      </c>
      <c r="Y412" s="11">
        <f>IF(OR($T412="",$V412=""),"",$V412-$T412)</f>
        <v/>
      </c>
      <c r="Z412" s="11">
        <f>IF(OR($S412="未発送",$S412="発送済",$S412="査定済",$S412="入金済"),1,0)</f>
        <v/>
      </c>
      <c r="AA412" s="11">
        <f>IF($U412="",0,1)</f>
        <v/>
      </c>
    </row>
    <row r="413">
      <c r="A413" s="8" t="n"/>
      <c r="B413" s="9" t="n"/>
      <c r="C413" s="10" t="n"/>
      <c r="D413" s="9" t="n"/>
      <c r="E413" s="9" t="n"/>
      <c r="F413" s="9" t="n"/>
      <c r="G413" s="4" t="n"/>
      <c r="H413" s="5" t="n"/>
      <c r="I413" s="4" t="n"/>
      <c r="J413" s="4" t="n"/>
      <c r="K413" s="4" t="n"/>
      <c r="L413" s="11">
        <f>IF($G413="","",IF($F413="",1,MAX(1,COUNTIF($F$6:$F$505,$F413)-COUNTIFS($F$6:$F$505,$F413,$S$6:$S$505,"見送り"))))</f>
        <v/>
      </c>
      <c r="M413" s="12">
        <f>IF($G413="","",IF($K413="",'設定'!$C$6,$K413)/$L413)</f>
        <v/>
      </c>
      <c r="N413" s="12">
        <f>IF(OR($G413="",$I413=""),"",$I413-$G413-$M413-$J413)</f>
        <v/>
      </c>
      <c r="O413" s="13">
        <f>IF($N413="","",IF($G413&gt;0,$N413/$G413,0))</f>
        <v/>
      </c>
      <c r="P413" s="12">
        <f>IF($G413="","",$G413*$H413)</f>
        <v/>
      </c>
      <c r="Q413" s="12">
        <f>IF($N413="","",$N413-$I413*'設定'!$C$7)</f>
        <v/>
      </c>
      <c r="R413" s="14">
        <f>IF($N413="","",IF(AND($N413&gt;='設定'!$C$4,$O413&gt;='設定'!$C$5),IF($Q413&gt;=0,"仕入れOK","OK・下落に弱い"),"見送り"))</f>
        <v/>
      </c>
      <c r="S413" s="9" t="n"/>
      <c r="T413" s="8" t="n"/>
      <c r="U413" s="4" t="n"/>
      <c r="V413" s="8" t="n"/>
      <c r="W413" s="12">
        <f>IF(OR($G413="",$U413=""),"",$U413-$G413-$M413-$J413)</f>
        <v/>
      </c>
      <c r="X413" s="12">
        <f>IF(OR($I413="",$U413=""),"",$I413-$U413)</f>
        <v/>
      </c>
      <c r="Y413" s="11">
        <f>IF(OR($T413="",$V413=""),"",$V413-$T413)</f>
        <v/>
      </c>
      <c r="Z413" s="11">
        <f>IF(OR($S413="未発送",$S413="発送済",$S413="査定済",$S413="入金済"),1,0)</f>
        <v/>
      </c>
      <c r="AA413" s="11">
        <f>IF($U413="",0,1)</f>
        <v/>
      </c>
    </row>
    <row r="414">
      <c r="A414" s="8" t="n"/>
      <c r="B414" s="9" t="n"/>
      <c r="C414" s="10" t="n"/>
      <c r="D414" s="9" t="n"/>
      <c r="E414" s="9" t="n"/>
      <c r="F414" s="9" t="n"/>
      <c r="G414" s="4" t="n"/>
      <c r="H414" s="5" t="n"/>
      <c r="I414" s="4" t="n"/>
      <c r="J414" s="4" t="n"/>
      <c r="K414" s="4" t="n"/>
      <c r="L414" s="11">
        <f>IF($G414="","",IF($F414="",1,MAX(1,COUNTIF($F$6:$F$505,$F414)-COUNTIFS($F$6:$F$505,$F414,$S$6:$S$505,"見送り"))))</f>
        <v/>
      </c>
      <c r="M414" s="12">
        <f>IF($G414="","",IF($K414="",'設定'!$C$6,$K414)/$L414)</f>
        <v/>
      </c>
      <c r="N414" s="12">
        <f>IF(OR($G414="",$I414=""),"",$I414-$G414-$M414-$J414)</f>
        <v/>
      </c>
      <c r="O414" s="13">
        <f>IF($N414="","",IF($G414&gt;0,$N414/$G414,0))</f>
        <v/>
      </c>
      <c r="P414" s="12">
        <f>IF($G414="","",$G414*$H414)</f>
        <v/>
      </c>
      <c r="Q414" s="12">
        <f>IF($N414="","",$N414-$I414*'設定'!$C$7)</f>
        <v/>
      </c>
      <c r="R414" s="14">
        <f>IF($N414="","",IF(AND($N414&gt;='設定'!$C$4,$O414&gt;='設定'!$C$5),IF($Q414&gt;=0,"仕入れOK","OK・下落に弱い"),"見送り"))</f>
        <v/>
      </c>
      <c r="S414" s="9" t="n"/>
      <c r="T414" s="8" t="n"/>
      <c r="U414" s="4" t="n"/>
      <c r="V414" s="8" t="n"/>
      <c r="W414" s="12">
        <f>IF(OR($G414="",$U414=""),"",$U414-$G414-$M414-$J414)</f>
        <v/>
      </c>
      <c r="X414" s="12">
        <f>IF(OR($I414="",$U414=""),"",$I414-$U414)</f>
        <v/>
      </c>
      <c r="Y414" s="11">
        <f>IF(OR($T414="",$V414=""),"",$V414-$T414)</f>
        <v/>
      </c>
      <c r="Z414" s="11">
        <f>IF(OR($S414="未発送",$S414="発送済",$S414="査定済",$S414="入金済"),1,0)</f>
        <v/>
      </c>
      <c r="AA414" s="11">
        <f>IF($U414="",0,1)</f>
        <v/>
      </c>
    </row>
    <row r="415">
      <c r="A415" s="8" t="n"/>
      <c r="B415" s="9" t="n"/>
      <c r="C415" s="10" t="n"/>
      <c r="D415" s="9" t="n"/>
      <c r="E415" s="9" t="n"/>
      <c r="F415" s="9" t="n"/>
      <c r="G415" s="4" t="n"/>
      <c r="H415" s="5" t="n"/>
      <c r="I415" s="4" t="n"/>
      <c r="J415" s="4" t="n"/>
      <c r="K415" s="4" t="n"/>
      <c r="L415" s="11">
        <f>IF($G415="","",IF($F415="",1,MAX(1,COUNTIF($F$6:$F$505,$F415)-COUNTIFS($F$6:$F$505,$F415,$S$6:$S$505,"見送り"))))</f>
        <v/>
      </c>
      <c r="M415" s="12">
        <f>IF($G415="","",IF($K415="",'設定'!$C$6,$K415)/$L415)</f>
        <v/>
      </c>
      <c r="N415" s="12">
        <f>IF(OR($G415="",$I415=""),"",$I415-$G415-$M415-$J415)</f>
        <v/>
      </c>
      <c r="O415" s="13">
        <f>IF($N415="","",IF($G415&gt;0,$N415/$G415,0))</f>
        <v/>
      </c>
      <c r="P415" s="12">
        <f>IF($G415="","",$G415*$H415)</f>
        <v/>
      </c>
      <c r="Q415" s="12">
        <f>IF($N415="","",$N415-$I415*'設定'!$C$7)</f>
        <v/>
      </c>
      <c r="R415" s="14">
        <f>IF($N415="","",IF(AND($N415&gt;='設定'!$C$4,$O415&gt;='設定'!$C$5),IF($Q415&gt;=0,"仕入れOK","OK・下落に弱い"),"見送り"))</f>
        <v/>
      </c>
      <c r="S415" s="9" t="n"/>
      <c r="T415" s="8" t="n"/>
      <c r="U415" s="4" t="n"/>
      <c r="V415" s="8" t="n"/>
      <c r="W415" s="12">
        <f>IF(OR($G415="",$U415=""),"",$U415-$G415-$M415-$J415)</f>
        <v/>
      </c>
      <c r="X415" s="12">
        <f>IF(OR($I415="",$U415=""),"",$I415-$U415)</f>
        <v/>
      </c>
      <c r="Y415" s="11">
        <f>IF(OR($T415="",$V415=""),"",$V415-$T415)</f>
        <v/>
      </c>
      <c r="Z415" s="11">
        <f>IF(OR($S415="未発送",$S415="発送済",$S415="査定済",$S415="入金済"),1,0)</f>
        <v/>
      </c>
      <c r="AA415" s="11">
        <f>IF($U415="",0,1)</f>
        <v/>
      </c>
    </row>
    <row r="416">
      <c r="A416" s="8" t="n"/>
      <c r="B416" s="9" t="n"/>
      <c r="C416" s="10" t="n"/>
      <c r="D416" s="9" t="n"/>
      <c r="E416" s="9" t="n"/>
      <c r="F416" s="9" t="n"/>
      <c r="G416" s="4" t="n"/>
      <c r="H416" s="5" t="n"/>
      <c r="I416" s="4" t="n"/>
      <c r="J416" s="4" t="n"/>
      <c r="K416" s="4" t="n"/>
      <c r="L416" s="11">
        <f>IF($G416="","",IF($F416="",1,MAX(1,COUNTIF($F$6:$F$505,$F416)-COUNTIFS($F$6:$F$505,$F416,$S$6:$S$505,"見送り"))))</f>
        <v/>
      </c>
      <c r="M416" s="12">
        <f>IF($G416="","",IF($K416="",'設定'!$C$6,$K416)/$L416)</f>
        <v/>
      </c>
      <c r="N416" s="12">
        <f>IF(OR($G416="",$I416=""),"",$I416-$G416-$M416-$J416)</f>
        <v/>
      </c>
      <c r="O416" s="13">
        <f>IF($N416="","",IF($G416&gt;0,$N416/$G416,0))</f>
        <v/>
      </c>
      <c r="P416" s="12">
        <f>IF($G416="","",$G416*$H416)</f>
        <v/>
      </c>
      <c r="Q416" s="12">
        <f>IF($N416="","",$N416-$I416*'設定'!$C$7)</f>
        <v/>
      </c>
      <c r="R416" s="14">
        <f>IF($N416="","",IF(AND($N416&gt;='設定'!$C$4,$O416&gt;='設定'!$C$5),IF($Q416&gt;=0,"仕入れOK","OK・下落に弱い"),"見送り"))</f>
        <v/>
      </c>
      <c r="S416" s="9" t="n"/>
      <c r="T416" s="8" t="n"/>
      <c r="U416" s="4" t="n"/>
      <c r="V416" s="8" t="n"/>
      <c r="W416" s="12">
        <f>IF(OR($G416="",$U416=""),"",$U416-$G416-$M416-$J416)</f>
        <v/>
      </c>
      <c r="X416" s="12">
        <f>IF(OR($I416="",$U416=""),"",$I416-$U416)</f>
        <v/>
      </c>
      <c r="Y416" s="11">
        <f>IF(OR($T416="",$V416=""),"",$V416-$T416)</f>
        <v/>
      </c>
      <c r="Z416" s="11">
        <f>IF(OR($S416="未発送",$S416="発送済",$S416="査定済",$S416="入金済"),1,0)</f>
        <v/>
      </c>
      <c r="AA416" s="11">
        <f>IF($U416="",0,1)</f>
        <v/>
      </c>
    </row>
    <row r="417">
      <c r="A417" s="8" t="n"/>
      <c r="B417" s="9" t="n"/>
      <c r="C417" s="10" t="n"/>
      <c r="D417" s="9" t="n"/>
      <c r="E417" s="9" t="n"/>
      <c r="F417" s="9" t="n"/>
      <c r="G417" s="4" t="n"/>
      <c r="H417" s="5" t="n"/>
      <c r="I417" s="4" t="n"/>
      <c r="J417" s="4" t="n"/>
      <c r="K417" s="4" t="n"/>
      <c r="L417" s="11">
        <f>IF($G417="","",IF($F417="",1,MAX(1,COUNTIF($F$6:$F$505,$F417)-COUNTIFS($F$6:$F$505,$F417,$S$6:$S$505,"見送り"))))</f>
        <v/>
      </c>
      <c r="M417" s="12">
        <f>IF($G417="","",IF($K417="",'設定'!$C$6,$K417)/$L417)</f>
        <v/>
      </c>
      <c r="N417" s="12">
        <f>IF(OR($G417="",$I417=""),"",$I417-$G417-$M417-$J417)</f>
        <v/>
      </c>
      <c r="O417" s="13">
        <f>IF($N417="","",IF($G417&gt;0,$N417/$G417,0))</f>
        <v/>
      </c>
      <c r="P417" s="12">
        <f>IF($G417="","",$G417*$H417)</f>
        <v/>
      </c>
      <c r="Q417" s="12">
        <f>IF($N417="","",$N417-$I417*'設定'!$C$7)</f>
        <v/>
      </c>
      <c r="R417" s="14">
        <f>IF($N417="","",IF(AND($N417&gt;='設定'!$C$4,$O417&gt;='設定'!$C$5),IF($Q417&gt;=0,"仕入れOK","OK・下落に弱い"),"見送り"))</f>
        <v/>
      </c>
      <c r="S417" s="9" t="n"/>
      <c r="T417" s="8" t="n"/>
      <c r="U417" s="4" t="n"/>
      <c r="V417" s="8" t="n"/>
      <c r="W417" s="12">
        <f>IF(OR($G417="",$U417=""),"",$U417-$G417-$M417-$J417)</f>
        <v/>
      </c>
      <c r="X417" s="12">
        <f>IF(OR($I417="",$U417=""),"",$I417-$U417)</f>
        <v/>
      </c>
      <c r="Y417" s="11">
        <f>IF(OR($T417="",$V417=""),"",$V417-$T417)</f>
        <v/>
      </c>
      <c r="Z417" s="11">
        <f>IF(OR($S417="未発送",$S417="発送済",$S417="査定済",$S417="入金済"),1,0)</f>
        <v/>
      </c>
      <c r="AA417" s="11">
        <f>IF($U417="",0,1)</f>
        <v/>
      </c>
    </row>
    <row r="418">
      <c r="A418" s="8" t="n"/>
      <c r="B418" s="9" t="n"/>
      <c r="C418" s="10" t="n"/>
      <c r="D418" s="9" t="n"/>
      <c r="E418" s="9" t="n"/>
      <c r="F418" s="9" t="n"/>
      <c r="G418" s="4" t="n"/>
      <c r="H418" s="5" t="n"/>
      <c r="I418" s="4" t="n"/>
      <c r="J418" s="4" t="n"/>
      <c r="K418" s="4" t="n"/>
      <c r="L418" s="11">
        <f>IF($G418="","",IF($F418="",1,MAX(1,COUNTIF($F$6:$F$505,$F418)-COUNTIFS($F$6:$F$505,$F418,$S$6:$S$505,"見送り"))))</f>
        <v/>
      </c>
      <c r="M418" s="12">
        <f>IF($G418="","",IF($K418="",'設定'!$C$6,$K418)/$L418)</f>
        <v/>
      </c>
      <c r="N418" s="12">
        <f>IF(OR($G418="",$I418=""),"",$I418-$G418-$M418-$J418)</f>
        <v/>
      </c>
      <c r="O418" s="13">
        <f>IF($N418="","",IF($G418&gt;0,$N418/$G418,0))</f>
        <v/>
      </c>
      <c r="P418" s="12">
        <f>IF($G418="","",$G418*$H418)</f>
        <v/>
      </c>
      <c r="Q418" s="12">
        <f>IF($N418="","",$N418-$I418*'設定'!$C$7)</f>
        <v/>
      </c>
      <c r="R418" s="14">
        <f>IF($N418="","",IF(AND($N418&gt;='設定'!$C$4,$O418&gt;='設定'!$C$5),IF($Q418&gt;=0,"仕入れOK","OK・下落に弱い"),"見送り"))</f>
        <v/>
      </c>
      <c r="S418" s="9" t="n"/>
      <c r="T418" s="8" t="n"/>
      <c r="U418" s="4" t="n"/>
      <c r="V418" s="8" t="n"/>
      <c r="W418" s="12">
        <f>IF(OR($G418="",$U418=""),"",$U418-$G418-$M418-$J418)</f>
        <v/>
      </c>
      <c r="X418" s="12">
        <f>IF(OR($I418="",$U418=""),"",$I418-$U418)</f>
        <v/>
      </c>
      <c r="Y418" s="11">
        <f>IF(OR($T418="",$V418=""),"",$V418-$T418)</f>
        <v/>
      </c>
      <c r="Z418" s="11">
        <f>IF(OR($S418="未発送",$S418="発送済",$S418="査定済",$S418="入金済"),1,0)</f>
        <v/>
      </c>
      <c r="AA418" s="11">
        <f>IF($U418="",0,1)</f>
        <v/>
      </c>
    </row>
    <row r="419">
      <c r="A419" s="8" t="n"/>
      <c r="B419" s="9" t="n"/>
      <c r="C419" s="10" t="n"/>
      <c r="D419" s="9" t="n"/>
      <c r="E419" s="9" t="n"/>
      <c r="F419" s="9" t="n"/>
      <c r="G419" s="4" t="n"/>
      <c r="H419" s="5" t="n"/>
      <c r="I419" s="4" t="n"/>
      <c r="J419" s="4" t="n"/>
      <c r="K419" s="4" t="n"/>
      <c r="L419" s="11">
        <f>IF($G419="","",IF($F419="",1,MAX(1,COUNTIF($F$6:$F$505,$F419)-COUNTIFS($F$6:$F$505,$F419,$S$6:$S$505,"見送り"))))</f>
        <v/>
      </c>
      <c r="M419" s="12">
        <f>IF($G419="","",IF($K419="",'設定'!$C$6,$K419)/$L419)</f>
        <v/>
      </c>
      <c r="N419" s="12">
        <f>IF(OR($G419="",$I419=""),"",$I419-$G419-$M419-$J419)</f>
        <v/>
      </c>
      <c r="O419" s="13">
        <f>IF($N419="","",IF($G419&gt;0,$N419/$G419,0))</f>
        <v/>
      </c>
      <c r="P419" s="12">
        <f>IF($G419="","",$G419*$H419)</f>
        <v/>
      </c>
      <c r="Q419" s="12">
        <f>IF($N419="","",$N419-$I419*'設定'!$C$7)</f>
        <v/>
      </c>
      <c r="R419" s="14">
        <f>IF($N419="","",IF(AND($N419&gt;='設定'!$C$4,$O419&gt;='設定'!$C$5),IF($Q419&gt;=0,"仕入れOK","OK・下落に弱い"),"見送り"))</f>
        <v/>
      </c>
      <c r="S419" s="9" t="n"/>
      <c r="T419" s="8" t="n"/>
      <c r="U419" s="4" t="n"/>
      <c r="V419" s="8" t="n"/>
      <c r="W419" s="12">
        <f>IF(OR($G419="",$U419=""),"",$U419-$G419-$M419-$J419)</f>
        <v/>
      </c>
      <c r="X419" s="12">
        <f>IF(OR($I419="",$U419=""),"",$I419-$U419)</f>
        <v/>
      </c>
      <c r="Y419" s="11">
        <f>IF(OR($T419="",$V419=""),"",$V419-$T419)</f>
        <v/>
      </c>
      <c r="Z419" s="11">
        <f>IF(OR($S419="未発送",$S419="発送済",$S419="査定済",$S419="入金済"),1,0)</f>
        <v/>
      </c>
      <c r="AA419" s="11">
        <f>IF($U419="",0,1)</f>
        <v/>
      </c>
    </row>
    <row r="420">
      <c r="A420" s="8" t="n"/>
      <c r="B420" s="9" t="n"/>
      <c r="C420" s="10" t="n"/>
      <c r="D420" s="9" t="n"/>
      <c r="E420" s="9" t="n"/>
      <c r="F420" s="9" t="n"/>
      <c r="G420" s="4" t="n"/>
      <c r="H420" s="5" t="n"/>
      <c r="I420" s="4" t="n"/>
      <c r="J420" s="4" t="n"/>
      <c r="K420" s="4" t="n"/>
      <c r="L420" s="11">
        <f>IF($G420="","",IF($F420="",1,MAX(1,COUNTIF($F$6:$F$505,$F420)-COUNTIFS($F$6:$F$505,$F420,$S$6:$S$505,"見送り"))))</f>
        <v/>
      </c>
      <c r="M420" s="12">
        <f>IF($G420="","",IF($K420="",'設定'!$C$6,$K420)/$L420)</f>
        <v/>
      </c>
      <c r="N420" s="12">
        <f>IF(OR($G420="",$I420=""),"",$I420-$G420-$M420-$J420)</f>
        <v/>
      </c>
      <c r="O420" s="13">
        <f>IF($N420="","",IF($G420&gt;0,$N420/$G420,0))</f>
        <v/>
      </c>
      <c r="P420" s="12">
        <f>IF($G420="","",$G420*$H420)</f>
        <v/>
      </c>
      <c r="Q420" s="12">
        <f>IF($N420="","",$N420-$I420*'設定'!$C$7)</f>
        <v/>
      </c>
      <c r="R420" s="14">
        <f>IF($N420="","",IF(AND($N420&gt;='設定'!$C$4,$O420&gt;='設定'!$C$5),IF($Q420&gt;=0,"仕入れOK","OK・下落に弱い"),"見送り"))</f>
        <v/>
      </c>
      <c r="S420" s="9" t="n"/>
      <c r="T420" s="8" t="n"/>
      <c r="U420" s="4" t="n"/>
      <c r="V420" s="8" t="n"/>
      <c r="W420" s="12">
        <f>IF(OR($G420="",$U420=""),"",$U420-$G420-$M420-$J420)</f>
        <v/>
      </c>
      <c r="X420" s="12">
        <f>IF(OR($I420="",$U420=""),"",$I420-$U420)</f>
        <v/>
      </c>
      <c r="Y420" s="11">
        <f>IF(OR($T420="",$V420=""),"",$V420-$T420)</f>
        <v/>
      </c>
      <c r="Z420" s="11">
        <f>IF(OR($S420="未発送",$S420="発送済",$S420="査定済",$S420="入金済"),1,0)</f>
        <v/>
      </c>
      <c r="AA420" s="11">
        <f>IF($U420="",0,1)</f>
        <v/>
      </c>
    </row>
    <row r="421">
      <c r="A421" s="8" t="n"/>
      <c r="B421" s="9" t="n"/>
      <c r="C421" s="10" t="n"/>
      <c r="D421" s="9" t="n"/>
      <c r="E421" s="9" t="n"/>
      <c r="F421" s="9" t="n"/>
      <c r="G421" s="4" t="n"/>
      <c r="H421" s="5" t="n"/>
      <c r="I421" s="4" t="n"/>
      <c r="J421" s="4" t="n"/>
      <c r="K421" s="4" t="n"/>
      <c r="L421" s="11">
        <f>IF($G421="","",IF($F421="",1,MAX(1,COUNTIF($F$6:$F$505,$F421)-COUNTIFS($F$6:$F$505,$F421,$S$6:$S$505,"見送り"))))</f>
        <v/>
      </c>
      <c r="M421" s="12">
        <f>IF($G421="","",IF($K421="",'設定'!$C$6,$K421)/$L421)</f>
        <v/>
      </c>
      <c r="N421" s="12">
        <f>IF(OR($G421="",$I421=""),"",$I421-$G421-$M421-$J421)</f>
        <v/>
      </c>
      <c r="O421" s="13">
        <f>IF($N421="","",IF($G421&gt;0,$N421/$G421,0))</f>
        <v/>
      </c>
      <c r="P421" s="12">
        <f>IF($G421="","",$G421*$H421)</f>
        <v/>
      </c>
      <c r="Q421" s="12">
        <f>IF($N421="","",$N421-$I421*'設定'!$C$7)</f>
        <v/>
      </c>
      <c r="R421" s="14">
        <f>IF($N421="","",IF(AND($N421&gt;='設定'!$C$4,$O421&gt;='設定'!$C$5),IF($Q421&gt;=0,"仕入れOK","OK・下落に弱い"),"見送り"))</f>
        <v/>
      </c>
      <c r="S421" s="9" t="n"/>
      <c r="T421" s="8" t="n"/>
      <c r="U421" s="4" t="n"/>
      <c r="V421" s="8" t="n"/>
      <c r="W421" s="12">
        <f>IF(OR($G421="",$U421=""),"",$U421-$G421-$M421-$J421)</f>
        <v/>
      </c>
      <c r="X421" s="12">
        <f>IF(OR($I421="",$U421=""),"",$I421-$U421)</f>
        <v/>
      </c>
      <c r="Y421" s="11">
        <f>IF(OR($T421="",$V421=""),"",$V421-$T421)</f>
        <v/>
      </c>
      <c r="Z421" s="11">
        <f>IF(OR($S421="未発送",$S421="発送済",$S421="査定済",$S421="入金済"),1,0)</f>
        <v/>
      </c>
      <c r="AA421" s="11">
        <f>IF($U421="",0,1)</f>
        <v/>
      </c>
    </row>
    <row r="422">
      <c r="A422" s="8" t="n"/>
      <c r="B422" s="9" t="n"/>
      <c r="C422" s="10" t="n"/>
      <c r="D422" s="9" t="n"/>
      <c r="E422" s="9" t="n"/>
      <c r="F422" s="9" t="n"/>
      <c r="G422" s="4" t="n"/>
      <c r="H422" s="5" t="n"/>
      <c r="I422" s="4" t="n"/>
      <c r="J422" s="4" t="n"/>
      <c r="K422" s="4" t="n"/>
      <c r="L422" s="11">
        <f>IF($G422="","",IF($F422="",1,MAX(1,COUNTIF($F$6:$F$505,$F422)-COUNTIFS($F$6:$F$505,$F422,$S$6:$S$505,"見送り"))))</f>
        <v/>
      </c>
      <c r="M422" s="12">
        <f>IF($G422="","",IF($K422="",'設定'!$C$6,$K422)/$L422)</f>
        <v/>
      </c>
      <c r="N422" s="12">
        <f>IF(OR($G422="",$I422=""),"",$I422-$G422-$M422-$J422)</f>
        <v/>
      </c>
      <c r="O422" s="13">
        <f>IF($N422="","",IF($G422&gt;0,$N422/$G422,0))</f>
        <v/>
      </c>
      <c r="P422" s="12">
        <f>IF($G422="","",$G422*$H422)</f>
        <v/>
      </c>
      <c r="Q422" s="12">
        <f>IF($N422="","",$N422-$I422*'設定'!$C$7)</f>
        <v/>
      </c>
      <c r="R422" s="14">
        <f>IF($N422="","",IF(AND($N422&gt;='設定'!$C$4,$O422&gt;='設定'!$C$5),IF($Q422&gt;=0,"仕入れOK","OK・下落に弱い"),"見送り"))</f>
        <v/>
      </c>
      <c r="S422" s="9" t="n"/>
      <c r="T422" s="8" t="n"/>
      <c r="U422" s="4" t="n"/>
      <c r="V422" s="8" t="n"/>
      <c r="W422" s="12">
        <f>IF(OR($G422="",$U422=""),"",$U422-$G422-$M422-$J422)</f>
        <v/>
      </c>
      <c r="X422" s="12">
        <f>IF(OR($I422="",$U422=""),"",$I422-$U422)</f>
        <v/>
      </c>
      <c r="Y422" s="11">
        <f>IF(OR($T422="",$V422=""),"",$V422-$T422)</f>
        <v/>
      </c>
      <c r="Z422" s="11">
        <f>IF(OR($S422="未発送",$S422="発送済",$S422="査定済",$S422="入金済"),1,0)</f>
        <v/>
      </c>
      <c r="AA422" s="11">
        <f>IF($U422="",0,1)</f>
        <v/>
      </c>
    </row>
    <row r="423">
      <c r="A423" s="8" t="n"/>
      <c r="B423" s="9" t="n"/>
      <c r="C423" s="10" t="n"/>
      <c r="D423" s="9" t="n"/>
      <c r="E423" s="9" t="n"/>
      <c r="F423" s="9" t="n"/>
      <c r="G423" s="4" t="n"/>
      <c r="H423" s="5" t="n"/>
      <c r="I423" s="4" t="n"/>
      <c r="J423" s="4" t="n"/>
      <c r="K423" s="4" t="n"/>
      <c r="L423" s="11">
        <f>IF($G423="","",IF($F423="",1,MAX(1,COUNTIF($F$6:$F$505,$F423)-COUNTIFS($F$6:$F$505,$F423,$S$6:$S$505,"見送り"))))</f>
        <v/>
      </c>
      <c r="M423" s="12">
        <f>IF($G423="","",IF($K423="",'設定'!$C$6,$K423)/$L423)</f>
        <v/>
      </c>
      <c r="N423" s="12">
        <f>IF(OR($G423="",$I423=""),"",$I423-$G423-$M423-$J423)</f>
        <v/>
      </c>
      <c r="O423" s="13">
        <f>IF($N423="","",IF($G423&gt;0,$N423/$G423,0))</f>
        <v/>
      </c>
      <c r="P423" s="12">
        <f>IF($G423="","",$G423*$H423)</f>
        <v/>
      </c>
      <c r="Q423" s="12">
        <f>IF($N423="","",$N423-$I423*'設定'!$C$7)</f>
        <v/>
      </c>
      <c r="R423" s="14">
        <f>IF($N423="","",IF(AND($N423&gt;='設定'!$C$4,$O423&gt;='設定'!$C$5),IF($Q423&gt;=0,"仕入れOK","OK・下落に弱い"),"見送り"))</f>
        <v/>
      </c>
      <c r="S423" s="9" t="n"/>
      <c r="T423" s="8" t="n"/>
      <c r="U423" s="4" t="n"/>
      <c r="V423" s="8" t="n"/>
      <c r="W423" s="12">
        <f>IF(OR($G423="",$U423=""),"",$U423-$G423-$M423-$J423)</f>
        <v/>
      </c>
      <c r="X423" s="12">
        <f>IF(OR($I423="",$U423=""),"",$I423-$U423)</f>
        <v/>
      </c>
      <c r="Y423" s="11">
        <f>IF(OR($T423="",$V423=""),"",$V423-$T423)</f>
        <v/>
      </c>
      <c r="Z423" s="11">
        <f>IF(OR($S423="未発送",$S423="発送済",$S423="査定済",$S423="入金済"),1,0)</f>
        <v/>
      </c>
      <c r="AA423" s="11">
        <f>IF($U423="",0,1)</f>
        <v/>
      </c>
    </row>
    <row r="424">
      <c r="A424" s="8" t="n"/>
      <c r="B424" s="9" t="n"/>
      <c r="C424" s="10" t="n"/>
      <c r="D424" s="9" t="n"/>
      <c r="E424" s="9" t="n"/>
      <c r="F424" s="9" t="n"/>
      <c r="G424" s="4" t="n"/>
      <c r="H424" s="5" t="n"/>
      <c r="I424" s="4" t="n"/>
      <c r="J424" s="4" t="n"/>
      <c r="K424" s="4" t="n"/>
      <c r="L424" s="11">
        <f>IF($G424="","",IF($F424="",1,MAX(1,COUNTIF($F$6:$F$505,$F424)-COUNTIFS($F$6:$F$505,$F424,$S$6:$S$505,"見送り"))))</f>
        <v/>
      </c>
      <c r="M424" s="12">
        <f>IF($G424="","",IF($K424="",'設定'!$C$6,$K424)/$L424)</f>
        <v/>
      </c>
      <c r="N424" s="12">
        <f>IF(OR($G424="",$I424=""),"",$I424-$G424-$M424-$J424)</f>
        <v/>
      </c>
      <c r="O424" s="13">
        <f>IF($N424="","",IF($G424&gt;0,$N424/$G424,0))</f>
        <v/>
      </c>
      <c r="P424" s="12">
        <f>IF($G424="","",$G424*$H424)</f>
        <v/>
      </c>
      <c r="Q424" s="12">
        <f>IF($N424="","",$N424-$I424*'設定'!$C$7)</f>
        <v/>
      </c>
      <c r="R424" s="14">
        <f>IF($N424="","",IF(AND($N424&gt;='設定'!$C$4,$O424&gt;='設定'!$C$5),IF($Q424&gt;=0,"仕入れOK","OK・下落に弱い"),"見送り"))</f>
        <v/>
      </c>
      <c r="S424" s="9" t="n"/>
      <c r="T424" s="8" t="n"/>
      <c r="U424" s="4" t="n"/>
      <c r="V424" s="8" t="n"/>
      <c r="W424" s="12">
        <f>IF(OR($G424="",$U424=""),"",$U424-$G424-$M424-$J424)</f>
        <v/>
      </c>
      <c r="X424" s="12">
        <f>IF(OR($I424="",$U424=""),"",$I424-$U424)</f>
        <v/>
      </c>
      <c r="Y424" s="11">
        <f>IF(OR($T424="",$V424=""),"",$V424-$T424)</f>
        <v/>
      </c>
      <c r="Z424" s="11">
        <f>IF(OR($S424="未発送",$S424="発送済",$S424="査定済",$S424="入金済"),1,0)</f>
        <v/>
      </c>
      <c r="AA424" s="11">
        <f>IF($U424="",0,1)</f>
        <v/>
      </c>
    </row>
    <row r="425">
      <c r="A425" s="8" t="n"/>
      <c r="B425" s="9" t="n"/>
      <c r="C425" s="10" t="n"/>
      <c r="D425" s="9" t="n"/>
      <c r="E425" s="9" t="n"/>
      <c r="F425" s="9" t="n"/>
      <c r="G425" s="4" t="n"/>
      <c r="H425" s="5" t="n"/>
      <c r="I425" s="4" t="n"/>
      <c r="J425" s="4" t="n"/>
      <c r="K425" s="4" t="n"/>
      <c r="L425" s="11">
        <f>IF($G425="","",IF($F425="",1,MAX(1,COUNTIF($F$6:$F$505,$F425)-COUNTIFS($F$6:$F$505,$F425,$S$6:$S$505,"見送り"))))</f>
        <v/>
      </c>
      <c r="M425" s="12">
        <f>IF($G425="","",IF($K425="",'設定'!$C$6,$K425)/$L425)</f>
        <v/>
      </c>
      <c r="N425" s="12">
        <f>IF(OR($G425="",$I425=""),"",$I425-$G425-$M425-$J425)</f>
        <v/>
      </c>
      <c r="O425" s="13">
        <f>IF($N425="","",IF($G425&gt;0,$N425/$G425,0))</f>
        <v/>
      </c>
      <c r="P425" s="12">
        <f>IF($G425="","",$G425*$H425)</f>
        <v/>
      </c>
      <c r="Q425" s="12">
        <f>IF($N425="","",$N425-$I425*'設定'!$C$7)</f>
        <v/>
      </c>
      <c r="R425" s="14">
        <f>IF($N425="","",IF(AND($N425&gt;='設定'!$C$4,$O425&gt;='設定'!$C$5),IF($Q425&gt;=0,"仕入れOK","OK・下落に弱い"),"見送り"))</f>
        <v/>
      </c>
      <c r="S425" s="9" t="n"/>
      <c r="T425" s="8" t="n"/>
      <c r="U425" s="4" t="n"/>
      <c r="V425" s="8" t="n"/>
      <c r="W425" s="12">
        <f>IF(OR($G425="",$U425=""),"",$U425-$G425-$M425-$J425)</f>
        <v/>
      </c>
      <c r="X425" s="12">
        <f>IF(OR($I425="",$U425=""),"",$I425-$U425)</f>
        <v/>
      </c>
      <c r="Y425" s="11">
        <f>IF(OR($T425="",$V425=""),"",$V425-$T425)</f>
        <v/>
      </c>
      <c r="Z425" s="11">
        <f>IF(OR($S425="未発送",$S425="発送済",$S425="査定済",$S425="入金済"),1,0)</f>
        <v/>
      </c>
      <c r="AA425" s="11">
        <f>IF($U425="",0,1)</f>
        <v/>
      </c>
    </row>
    <row r="426">
      <c r="A426" s="8" t="n"/>
      <c r="B426" s="9" t="n"/>
      <c r="C426" s="10" t="n"/>
      <c r="D426" s="9" t="n"/>
      <c r="E426" s="9" t="n"/>
      <c r="F426" s="9" t="n"/>
      <c r="G426" s="4" t="n"/>
      <c r="H426" s="5" t="n"/>
      <c r="I426" s="4" t="n"/>
      <c r="J426" s="4" t="n"/>
      <c r="K426" s="4" t="n"/>
      <c r="L426" s="11">
        <f>IF($G426="","",IF($F426="",1,MAX(1,COUNTIF($F$6:$F$505,$F426)-COUNTIFS($F$6:$F$505,$F426,$S$6:$S$505,"見送り"))))</f>
        <v/>
      </c>
      <c r="M426" s="12">
        <f>IF($G426="","",IF($K426="",'設定'!$C$6,$K426)/$L426)</f>
        <v/>
      </c>
      <c r="N426" s="12">
        <f>IF(OR($G426="",$I426=""),"",$I426-$G426-$M426-$J426)</f>
        <v/>
      </c>
      <c r="O426" s="13">
        <f>IF($N426="","",IF($G426&gt;0,$N426/$G426,0))</f>
        <v/>
      </c>
      <c r="P426" s="12">
        <f>IF($G426="","",$G426*$H426)</f>
        <v/>
      </c>
      <c r="Q426" s="12">
        <f>IF($N426="","",$N426-$I426*'設定'!$C$7)</f>
        <v/>
      </c>
      <c r="R426" s="14">
        <f>IF($N426="","",IF(AND($N426&gt;='設定'!$C$4,$O426&gt;='設定'!$C$5),IF($Q426&gt;=0,"仕入れOK","OK・下落に弱い"),"見送り"))</f>
        <v/>
      </c>
      <c r="S426" s="9" t="n"/>
      <c r="T426" s="8" t="n"/>
      <c r="U426" s="4" t="n"/>
      <c r="V426" s="8" t="n"/>
      <c r="W426" s="12">
        <f>IF(OR($G426="",$U426=""),"",$U426-$G426-$M426-$J426)</f>
        <v/>
      </c>
      <c r="X426" s="12">
        <f>IF(OR($I426="",$U426=""),"",$I426-$U426)</f>
        <v/>
      </c>
      <c r="Y426" s="11">
        <f>IF(OR($T426="",$V426=""),"",$V426-$T426)</f>
        <v/>
      </c>
      <c r="Z426" s="11">
        <f>IF(OR($S426="未発送",$S426="発送済",$S426="査定済",$S426="入金済"),1,0)</f>
        <v/>
      </c>
      <c r="AA426" s="11">
        <f>IF($U426="",0,1)</f>
        <v/>
      </c>
    </row>
    <row r="427">
      <c r="A427" s="8" t="n"/>
      <c r="B427" s="9" t="n"/>
      <c r="C427" s="10" t="n"/>
      <c r="D427" s="9" t="n"/>
      <c r="E427" s="9" t="n"/>
      <c r="F427" s="9" t="n"/>
      <c r="G427" s="4" t="n"/>
      <c r="H427" s="5" t="n"/>
      <c r="I427" s="4" t="n"/>
      <c r="J427" s="4" t="n"/>
      <c r="K427" s="4" t="n"/>
      <c r="L427" s="11">
        <f>IF($G427="","",IF($F427="",1,MAX(1,COUNTIF($F$6:$F$505,$F427)-COUNTIFS($F$6:$F$505,$F427,$S$6:$S$505,"見送り"))))</f>
        <v/>
      </c>
      <c r="M427" s="12">
        <f>IF($G427="","",IF($K427="",'設定'!$C$6,$K427)/$L427)</f>
        <v/>
      </c>
      <c r="N427" s="12">
        <f>IF(OR($G427="",$I427=""),"",$I427-$G427-$M427-$J427)</f>
        <v/>
      </c>
      <c r="O427" s="13">
        <f>IF($N427="","",IF($G427&gt;0,$N427/$G427,0))</f>
        <v/>
      </c>
      <c r="P427" s="12">
        <f>IF($G427="","",$G427*$H427)</f>
        <v/>
      </c>
      <c r="Q427" s="12">
        <f>IF($N427="","",$N427-$I427*'設定'!$C$7)</f>
        <v/>
      </c>
      <c r="R427" s="14">
        <f>IF($N427="","",IF(AND($N427&gt;='設定'!$C$4,$O427&gt;='設定'!$C$5),IF($Q427&gt;=0,"仕入れOK","OK・下落に弱い"),"見送り"))</f>
        <v/>
      </c>
      <c r="S427" s="9" t="n"/>
      <c r="T427" s="8" t="n"/>
      <c r="U427" s="4" t="n"/>
      <c r="V427" s="8" t="n"/>
      <c r="W427" s="12">
        <f>IF(OR($G427="",$U427=""),"",$U427-$G427-$M427-$J427)</f>
        <v/>
      </c>
      <c r="X427" s="12">
        <f>IF(OR($I427="",$U427=""),"",$I427-$U427)</f>
        <v/>
      </c>
      <c r="Y427" s="11">
        <f>IF(OR($T427="",$V427=""),"",$V427-$T427)</f>
        <v/>
      </c>
      <c r="Z427" s="11">
        <f>IF(OR($S427="未発送",$S427="発送済",$S427="査定済",$S427="入金済"),1,0)</f>
        <v/>
      </c>
      <c r="AA427" s="11">
        <f>IF($U427="",0,1)</f>
        <v/>
      </c>
    </row>
    <row r="428">
      <c r="A428" s="8" t="n"/>
      <c r="B428" s="9" t="n"/>
      <c r="C428" s="10" t="n"/>
      <c r="D428" s="9" t="n"/>
      <c r="E428" s="9" t="n"/>
      <c r="F428" s="9" t="n"/>
      <c r="G428" s="4" t="n"/>
      <c r="H428" s="5" t="n"/>
      <c r="I428" s="4" t="n"/>
      <c r="J428" s="4" t="n"/>
      <c r="K428" s="4" t="n"/>
      <c r="L428" s="11">
        <f>IF($G428="","",IF($F428="",1,MAX(1,COUNTIF($F$6:$F$505,$F428)-COUNTIFS($F$6:$F$505,$F428,$S$6:$S$505,"見送り"))))</f>
        <v/>
      </c>
      <c r="M428" s="12">
        <f>IF($G428="","",IF($K428="",'設定'!$C$6,$K428)/$L428)</f>
        <v/>
      </c>
      <c r="N428" s="12">
        <f>IF(OR($G428="",$I428=""),"",$I428-$G428-$M428-$J428)</f>
        <v/>
      </c>
      <c r="O428" s="13">
        <f>IF($N428="","",IF($G428&gt;0,$N428/$G428,0))</f>
        <v/>
      </c>
      <c r="P428" s="12">
        <f>IF($G428="","",$G428*$H428)</f>
        <v/>
      </c>
      <c r="Q428" s="12">
        <f>IF($N428="","",$N428-$I428*'設定'!$C$7)</f>
        <v/>
      </c>
      <c r="R428" s="14">
        <f>IF($N428="","",IF(AND($N428&gt;='設定'!$C$4,$O428&gt;='設定'!$C$5),IF($Q428&gt;=0,"仕入れOK","OK・下落に弱い"),"見送り"))</f>
        <v/>
      </c>
      <c r="S428" s="9" t="n"/>
      <c r="T428" s="8" t="n"/>
      <c r="U428" s="4" t="n"/>
      <c r="V428" s="8" t="n"/>
      <c r="W428" s="12">
        <f>IF(OR($G428="",$U428=""),"",$U428-$G428-$M428-$J428)</f>
        <v/>
      </c>
      <c r="X428" s="12">
        <f>IF(OR($I428="",$U428=""),"",$I428-$U428)</f>
        <v/>
      </c>
      <c r="Y428" s="11">
        <f>IF(OR($T428="",$V428=""),"",$V428-$T428)</f>
        <v/>
      </c>
      <c r="Z428" s="11">
        <f>IF(OR($S428="未発送",$S428="発送済",$S428="査定済",$S428="入金済"),1,0)</f>
        <v/>
      </c>
      <c r="AA428" s="11">
        <f>IF($U428="",0,1)</f>
        <v/>
      </c>
    </row>
    <row r="429">
      <c r="A429" s="8" t="n"/>
      <c r="B429" s="9" t="n"/>
      <c r="C429" s="10" t="n"/>
      <c r="D429" s="9" t="n"/>
      <c r="E429" s="9" t="n"/>
      <c r="F429" s="9" t="n"/>
      <c r="G429" s="4" t="n"/>
      <c r="H429" s="5" t="n"/>
      <c r="I429" s="4" t="n"/>
      <c r="J429" s="4" t="n"/>
      <c r="K429" s="4" t="n"/>
      <c r="L429" s="11">
        <f>IF($G429="","",IF($F429="",1,MAX(1,COUNTIF($F$6:$F$505,$F429)-COUNTIFS($F$6:$F$505,$F429,$S$6:$S$505,"見送り"))))</f>
        <v/>
      </c>
      <c r="M429" s="12">
        <f>IF($G429="","",IF($K429="",'設定'!$C$6,$K429)/$L429)</f>
        <v/>
      </c>
      <c r="N429" s="12">
        <f>IF(OR($G429="",$I429=""),"",$I429-$G429-$M429-$J429)</f>
        <v/>
      </c>
      <c r="O429" s="13">
        <f>IF($N429="","",IF($G429&gt;0,$N429/$G429,0))</f>
        <v/>
      </c>
      <c r="P429" s="12">
        <f>IF($G429="","",$G429*$H429)</f>
        <v/>
      </c>
      <c r="Q429" s="12">
        <f>IF($N429="","",$N429-$I429*'設定'!$C$7)</f>
        <v/>
      </c>
      <c r="R429" s="14">
        <f>IF($N429="","",IF(AND($N429&gt;='設定'!$C$4,$O429&gt;='設定'!$C$5),IF($Q429&gt;=0,"仕入れOK","OK・下落に弱い"),"見送り"))</f>
        <v/>
      </c>
      <c r="S429" s="9" t="n"/>
      <c r="T429" s="8" t="n"/>
      <c r="U429" s="4" t="n"/>
      <c r="V429" s="8" t="n"/>
      <c r="W429" s="12">
        <f>IF(OR($G429="",$U429=""),"",$U429-$G429-$M429-$J429)</f>
        <v/>
      </c>
      <c r="X429" s="12">
        <f>IF(OR($I429="",$U429=""),"",$I429-$U429)</f>
        <v/>
      </c>
      <c r="Y429" s="11">
        <f>IF(OR($T429="",$V429=""),"",$V429-$T429)</f>
        <v/>
      </c>
      <c r="Z429" s="11">
        <f>IF(OR($S429="未発送",$S429="発送済",$S429="査定済",$S429="入金済"),1,0)</f>
        <v/>
      </c>
      <c r="AA429" s="11">
        <f>IF($U429="",0,1)</f>
        <v/>
      </c>
    </row>
    <row r="430">
      <c r="A430" s="8" t="n"/>
      <c r="B430" s="9" t="n"/>
      <c r="C430" s="10" t="n"/>
      <c r="D430" s="9" t="n"/>
      <c r="E430" s="9" t="n"/>
      <c r="F430" s="9" t="n"/>
      <c r="G430" s="4" t="n"/>
      <c r="H430" s="5" t="n"/>
      <c r="I430" s="4" t="n"/>
      <c r="J430" s="4" t="n"/>
      <c r="K430" s="4" t="n"/>
      <c r="L430" s="11">
        <f>IF($G430="","",IF($F430="",1,MAX(1,COUNTIF($F$6:$F$505,$F430)-COUNTIFS($F$6:$F$505,$F430,$S$6:$S$505,"見送り"))))</f>
        <v/>
      </c>
      <c r="M430" s="12">
        <f>IF($G430="","",IF($K430="",'設定'!$C$6,$K430)/$L430)</f>
        <v/>
      </c>
      <c r="N430" s="12">
        <f>IF(OR($G430="",$I430=""),"",$I430-$G430-$M430-$J430)</f>
        <v/>
      </c>
      <c r="O430" s="13">
        <f>IF($N430="","",IF($G430&gt;0,$N430/$G430,0))</f>
        <v/>
      </c>
      <c r="P430" s="12">
        <f>IF($G430="","",$G430*$H430)</f>
        <v/>
      </c>
      <c r="Q430" s="12">
        <f>IF($N430="","",$N430-$I430*'設定'!$C$7)</f>
        <v/>
      </c>
      <c r="R430" s="14">
        <f>IF($N430="","",IF(AND($N430&gt;='設定'!$C$4,$O430&gt;='設定'!$C$5),IF($Q430&gt;=0,"仕入れOK","OK・下落に弱い"),"見送り"))</f>
        <v/>
      </c>
      <c r="S430" s="9" t="n"/>
      <c r="T430" s="8" t="n"/>
      <c r="U430" s="4" t="n"/>
      <c r="V430" s="8" t="n"/>
      <c r="W430" s="12">
        <f>IF(OR($G430="",$U430=""),"",$U430-$G430-$M430-$J430)</f>
        <v/>
      </c>
      <c r="X430" s="12">
        <f>IF(OR($I430="",$U430=""),"",$I430-$U430)</f>
        <v/>
      </c>
      <c r="Y430" s="11">
        <f>IF(OR($T430="",$V430=""),"",$V430-$T430)</f>
        <v/>
      </c>
      <c r="Z430" s="11">
        <f>IF(OR($S430="未発送",$S430="発送済",$S430="査定済",$S430="入金済"),1,0)</f>
        <v/>
      </c>
      <c r="AA430" s="11">
        <f>IF($U430="",0,1)</f>
        <v/>
      </c>
    </row>
    <row r="431">
      <c r="A431" s="8" t="n"/>
      <c r="B431" s="9" t="n"/>
      <c r="C431" s="10" t="n"/>
      <c r="D431" s="9" t="n"/>
      <c r="E431" s="9" t="n"/>
      <c r="F431" s="9" t="n"/>
      <c r="G431" s="4" t="n"/>
      <c r="H431" s="5" t="n"/>
      <c r="I431" s="4" t="n"/>
      <c r="J431" s="4" t="n"/>
      <c r="K431" s="4" t="n"/>
      <c r="L431" s="11">
        <f>IF($G431="","",IF($F431="",1,MAX(1,COUNTIF($F$6:$F$505,$F431)-COUNTIFS($F$6:$F$505,$F431,$S$6:$S$505,"見送り"))))</f>
        <v/>
      </c>
      <c r="M431" s="12">
        <f>IF($G431="","",IF($K431="",'設定'!$C$6,$K431)/$L431)</f>
        <v/>
      </c>
      <c r="N431" s="12">
        <f>IF(OR($G431="",$I431=""),"",$I431-$G431-$M431-$J431)</f>
        <v/>
      </c>
      <c r="O431" s="13">
        <f>IF($N431="","",IF($G431&gt;0,$N431/$G431,0))</f>
        <v/>
      </c>
      <c r="P431" s="12">
        <f>IF($G431="","",$G431*$H431)</f>
        <v/>
      </c>
      <c r="Q431" s="12">
        <f>IF($N431="","",$N431-$I431*'設定'!$C$7)</f>
        <v/>
      </c>
      <c r="R431" s="14">
        <f>IF($N431="","",IF(AND($N431&gt;='設定'!$C$4,$O431&gt;='設定'!$C$5),IF($Q431&gt;=0,"仕入れOK","OK・下落に弱い"),"見送り"))</f>
        <v/>
      </c>
      <c r="S431" s="9" t="n"/>
      <c r="T431" s="8" t="n"/>
      <c r="U431" s="4" t="n"/>
      <c r="V431" s="8" t="n"/>
      <c r="W431" s="12">
        <f>IF(OR($G431="",$U431=""),"",$U431-$G431-$M431-$J431)</f>
        <v/>
      </c>
      <c r="X431" s="12">
        <f>IF(OR($I431="",$U431=""),"",$I431-$U431)</f>
        <v/>
      </c>
      <c r="Y431" s="11">
        <f>IF(OR($T431="",$V431=""),"",$V431-$T431)</f>
        <v/>
      </c>
      <c r="Z431" s="11">
        <f>IF(OR($S431="未発送",$S431="発送済",$S431="査定済",$S431="入金済"),1,0)</f>
        <v/>
      </c>
      <c r="AA431" s="11">
        <f>IF($U431="",0,1)</f>
        <v/>
      </c>
    </row>
    <row r="432">
      <c r="A432" s="8" t="n"/>
      <c r="B432" s="9" t="n"/>
      <c r="C432" s="10" t="n"/>
      <c r="D432" s="9" t="n"/>
      <c r="E432" s="9" t="n"/>
      <c r="F432" s="9" t="n"/>
      <c r="G432" s="4" t="n"/>
      <c r="H432" s="5" t="n"/>
      <c r="I432" s="4" t="n"/>
      <c r="J432" s="4" t="n"/>
      <c r="K432" s="4" t="n"/>
      <c r="L432" s="11">
        <f>IF($G432="","",IF($F432="",1,MAX(1,COUNTIF($F$6:$F$505,$F432)-COUNTIFS($F$6:$F$505,$F432,$S$6:$S$505,"見送り"))))</f>
        <v/>
      </c>
      <c r="M432" s="12">
        <f>IF($G432="","",IF($K432="",'設定'!$C$6,$K432)/$L432)</f>
        <v/>
      </c>
      <c r="N432" s="12">
        <f>IF(OR($G432="",$I432=""),"",$I432-$G432-$M432-$J432)</f>
        <v/>
      </c>
      <c r="O432" s="13">
        <f>IF($N432="","",IF($G432&gt;0,$N432/$G432,0))</f>
        <v/>
      </c>
      <c r="P432" s="12">
        <f>IF($G432="","",$G432*$H432)</f>
        <v/>
      </c>
      <c r="Q432" s="12">
        <f>IF($N432="","",$N432-$I432*'設定'!$C$7)</f>
        <v/>
      </c>
      <c r="R432" s="14">
        <f>IF($N432="","",IF(AND($N432&gt;='設定'!$C$4,$O432&gt;='設定'!$C$5),IF($Q432&gt;=0,"仕入れOK","OK・下落に弱い"),"見送り"))</f>
        <v/>
      </c>
      <c r="S432" s="9" t="n"/>
      <c r="T432" s="8" t="n"/>
      <c r="U432" s="4" t="n"/>
      <c r="V432" s="8" t="n"/>
      <c r="W432" s="12">
        <f>IF(OR($G432="",$U432=""),"",$U432-$G432-$M432-$J432)</f>
        <v/>
      </c>
      <c r="X432" s="12">
        <f>IF(OR($I432="",$U432=""),"",$I432-$U432)</f>
        <v/>
      </c>
      <c r="Y432" s="11">
        <f>IF(OR($T432="",$V432=""),"",$V432-$T432)</f>
        <v/>
      </c>
      <c r="Z432" s="11">
        <f>IF(OR($S432="未発送",$S432="発送済",$S432="査定済",$S432="入金済"),1,0)</f>
        <v/>
      </c>
      <c r="AA432" s="11">
        <f>IF($U432="",0,1)</f>
        <v/>
      </c>
    </row>
    <row r="433">
      <c r="A433" s="8" t="n"/>
      <c r="B433" s="9" t="n"/>
      <c r="C433" s="10" t="n"/>
      <c r="D433" s="9" t="n"/>
      <c r="E433" s="9" t="n"/>
      <c r="F433" s="9" t="n"/>
      <c r="G433" s="4" t="n"/>
      <c r="H433" s="5" t="n"/>
      <c r="I433" s="4" t="n"/>
      <c r="J433" s="4" t="n"/>
      <c r="K433" s="4" t="n"/>
      <c r="L433" s="11">
        <f>IF($G433="","",IF($F433="",1,MAX(1,COUNTIF($F$6:$F$505,$F433)-COUNTIFS($F$6:$F$505,$F433,$S$6:$S$505,"見送り"))))</f>
        <v/>
      </c>
      <c r="M433" s="12">
        <f>IF($G433="","",IF($K433="",'設定'!$C$6,$K433)/$L433)</f>
        <v/>
      </c>
      <c r="N433" s="12">
        <f>IF(OR($G433="",$I433=""),"",$I433-$G433-$M433-$J433)</f>
        <v/>
      </c>
      <c r="O433" s="13">
        <f>IF($N433="","",IF($G433&gt;0,$N433/$G433,0))</f>
        <v/>
      </c>
      <c r="P433" s="12">
        <f>IF($G433="","",$G433*$H433)</f>
        <v/>
      </c>
      <c r="Q433" s="12">
        <f>IF($N433="","",$N433-$I433*'設定'!$C$7)</f>
        <v/>
      </c>
      <c r="R433" s="14">
        <f>IF($N433="","",IF(AND($N433&gt;='設定'!$C$4,$O433&gt;='設定'!$C$5),IF($Q433&gt;=0,"仕入れOK","OK・下落に弱い"),"見送り"))</f>
        <v/>
      </c>
      <c r="S433" s="9" t="n"/>
      <c r="T433" s="8" t="n"/>
      <c r="U433" s="4" t="n"/>
      <c r="V433" s="8" t="n"/>
      <c r="W433" s="12">
        <f>IF(OR($G433="",$U433=""),"",$U433-$G433-$M433-$J433)</f>
        <v/>
      </c>
      <c r="X433" s="12">
        <f>IF(OR($I433="",$U433=""),"",$I433-$U433)</f>
        <v/>
      </c>
      <c r="Y433" s="11">
        <f>IF(OR($T433="",$V433=""),"",$V433-$T433)</f>
        <v/>
      </c>
      <c r="Z433" s="11">
        <f>IF(OR($S433="未発送",$S433="発送済",$S433="査定済",$S433="入金済"),1,0)</f>
        <v/>
      </c>
      <c r="AA433" s="11">
        <f>IF($U433="",0,1)</f>
        <v/>
      </c>
    </row>
    <row r="434">
      <c r="A434" s="8" t="n"/>
      <c r="B434" s="9" t="n"/>
      <c r="C434" s="10" t="n"/>
      <c r="D434" s="9" t="n"/>
      <c r="E434" s="9" t="n"/>
      <c r="F434" s="9" t="n"/>
      <c r="G434" s="4" t="n"/>
      <c r="H434" s="5" t="n"/>
      <c r="I434" s="4" t="n"/>
      <c r="J434" s="4" t="n"/>
      <c r="K434" s="4" t="n"/>
      <c r="L434" s="11">
        <f>IF($G434="","",IF($F434="",1,MAX(1,COUNTIF($F$6:$F$505,$F434)-COUNTIFS($F$6:$F$505,$F434,$S$6:$S$505,"見送り"))))</f>
        <v/>
      </c>
      <c r="M434" s="12">
        <f>IF($G434="","",IF($K434="",'設定'!$C$6,$K434)/$L434)</f>
        <v/>
      </c>
      <c r="N434" s="12">
        <f>IF(OR($G434="",$I434=""),"",$I434-$G434-$M434-$J434)</f>
        <v/>
      </c>
      <c r="O434" s="13">
        <f>IF($N434="","",IF($G434&gt;0,$N434/$G434,0))</f>
        <v/>
      </c>
      <c r="P434" s="12">
        <f>IF($G434="","",$G434*$H434)</f>
        <v/>
      </c>
      <c r="Q434" s="12">
        <f>IF($N434="","",$N434-$I434*'設定'!$C$7)</f>
        <v/>
      </c>
      <c r="R434" s="14">
        <f>IF($N434="","",IF(AND($N434&gt;='設定'!$C$4,$O434&gt;='設定'!$C$5),IF($Q434&gt;=0,"仕入れOK","OK・下落に弱い"),"見送り"))</f>
        <v/>
      </c>
      <c r="S434" s="9" t="n"/>
      <c r="T434" s="8" t="n"/>
      <c r="U434" s="4" t="n"/>
      <c r="V434" s="8" t="n"/>
      <c r="W434" s="12">
        <f>IF(OR($G434="",$U434=""),"",$U434-$G434-$M434-$J434)</f>
        <v/>
      </c>
      <c r="X434" s="12">
        <f>IF(OR($I434="",$U434=""),"",$I434-$U434)</f>
        <v/>
      </c>
      <c r="Y434" s="11">
        <f>IF(OR($T434="",$V434=""),"",$V434-$T434)</f>
        <v/>
      </c>
      <c r="Z434" s="11">
        <f>IF(OR($S434="未発送",$S434="発送済",$S434="査定済",$S434="入金済"),1,0)</f>
        <v/>
      </c>
      <c r="AA434" s="11">
        <f>IF($U434="",0,1)</f>
        <v/>
      </c>
    </row>
    <row r="435">
      <c r="A435" s="8" t="n"/>
      <c r="B435" s="9" t="n"/>
      <c r="C435" s="10" t="n"/>
      <c r="D435" s="9" t="n"/>
      <c r="E435" s="9" t="n"/>
      <c r="F435" s="9" t="n"/>
      <c r="G435" s="4" t="n"/>
      <c r="H435" s="5" t="n"/>
      <c r="I435" s="4" t="n"/>
      <c r="J435" s="4" t="n"/>
      <c r="K435" s="4" t="n"/>
      <c r="L435" s="11">
        <f>IF($G435="","",IF($F435="",1,MAX(1,COUNTIF($F$6:$F$505,$F435)-COUNTIFS($F$6:$F$505,$F435,$S$6:$S$505,"見送り"))))</f>
        <v/>
      </c>
      <c r="M435" s="12">
        <f>IF($G435="","",IF($K435="",'設定'!$C$6,$K435)/$L435)</f>
        <v/>
      </c>
      <c r="N435" s="12">
        <f>IF(OR($G435="",$I435=""),"",$I435-$G435-$M435-$J435)</f>
        <v/>
      </c>
      <c r="O435" s="13">
        <f>IF($N435="","",IF($G435&gt;0,$N435/$G435,0))</f>
        <v/>
      </c>
      <c r="P435" s="12">
        <f>IF($G435="","",$G435*$H435)</f>
        <v/>
      </c>
      <c r="Q435" s="12">
        <f>IF($N435="","",$N435-$I435*'設定'!$C$7)</f>
        <v/>
      </c>
      <c r="R435" s="14">
        <f>IF($N435="","",IF(AND($N435&gt;='設定'!$C$4,$O435&gt;='設定'!$C$5),IF($Q435&gt;=0,"仕入れOK","OK・下落に弱い"),"見送り"))</f>
        <v/>
      </c>
      <c r="S435" s="9" t="n"/>
      <c r="T435" s="8" t="n"/>
      <c r="U435" s="4" t="n"/>
      <c r="V435" s="8" t="n"/>
      <c r="W435" s="12">
        <f>IF(OR($G435="",$U435=""),"",$U435-$G435-$M435-$J435)</f>
        <v/>
      </c>
      <c r="X435" s="12">
        <f>IF(OR($I435="",$U435=""),"",$I435-$U435)</f>
        <v/>
      </c>
      <c r="Y435" s="11">
        <f>IF(OR($T435="",$V435=""),"",$V435-$T435)</f>
        <v/>
      </c>
      <c r="Z435" s="11">
        <f>IF(OR($S435="未発送",$S435="発送済",$S435="査定済",$S435="入金済"),1,0)</f>
        <v/>
      </c>
      <c r="AA435" s="11">
        <f>IF($U435="",0,1)</f>
        <v/>
      </c>
    </row>
    <row r="436">
      <c r="A436" s="8" t="n"/>
      <c r="B436" s="9" t="n"/>
      <c r="C436" s="10" t="n"/>
      <c r="D436" s="9" t="n"/>
      <c r="E436" s="9" t="n"/>
      <c r="F436" s="9" t="n"/>
      <c r="G436" s="4" t="n"/>
      <c r="H436" s="5" t="n"/>
      <c r="I436" s="4" t="n"/>
      <c r="J436" s="4" t="n"/>
      <c r="K436" s="4" t="n"/>
      <c r="L436" s="11">
        <f>IF($G436="","",IF($F436="",1,MAX(1,COUNTIF($F$6:$F$505,$F436)-COUNTIFS($F$6:$F$505,$F436,$S$6:$S$505,"見送り"))))</f>
        <v/>
      </c>
      <c r="M436" s="12">
        <f>IF($G436="","",IF($K436="",'設定'!$C$6,$K436)/$L436)</f>
        <v/>
      </c>
      <c r="N436" s="12">
        <f>IF(OR($G436="",$I436=""),"",$I436-$G436-$M436-$J436)</f>
        <v/>
      </c>
      <c r="O436" s="13">
        <f>IF($N436="","",IF($G436&gt;0,$N436/$G436,0))</f>
        <v/>
      </c>
      <c r="P436" s="12">
        <f>IF($G436="","",$G436*$H436)</f>
        <v/>
      </c>
      <c r="Q436" s="12">
        <f>IF($N436="","",$N436-$I436*'設定'!$C$7)</f>
        <v/>
      </c>
      <c r="R436" s="14">
        <f>IF($N436="","",IF(AND($N436&gt;='設定'!$C$4,$O436&gt;='設定'!$C$5),IF($Q436&gt;=0,"仕入れOK","OK・下落に弱い"),"見送り"))</f>
        <v/>
      </c>
      <c r="S436" s="9" t="n"/>
      <c r="T436" s="8" t="n"/>
      <c r="U436" s="4" t="n"/>
      <c r="V436" s="8" t="n"/>
      <c r="W436" s="12">
        <f>IF(OR($G436="",$U436=""),"",$U436-$G436-$M436-$J436)</f>
        <v/>
      </c>
      <c r="X436" s="12">
        <f>IF(OR($I436="",$U436=""),"",$I436-$U436)</f>
        <v/>
      </c>
      <c r="Y436" s="11">
        <f>IF(OR($T436="",$V436=""),"",$V436-$T436)</f>
        <v/>
      </c>
      <c r="Z436" s="11">
        <f>IF(OR($S436="未発送",$S436="発送済",$S436="査定済",$S436="入金済"),1,0)</f>
        <v/>
      </c>
      <c r="AA436" s="11">
        <f>IF($U436="",0,1)</f>
        <v/>
      </c>
    </row>
    <row r="437">
      <c r="A437" s="8" t="n"/>
      <c r="B437" s="9" t="n"/>
      <c r="C437" s="10" t="n"/>
      <c r="D437" s="9" t="n"/>
      <c r="E437" s="9" t="n"/>
      <c r="F437" s="9" t="n"/>
      <c r="G437" s="4" t="n"/>
      <c r="H437" s="5" t="n"/>
      <c r="I437" s="4" t="n"/>
      <c r="J437" s="4" t="n"/>
      <c r="K437" s="4" t="n"/>
      <c r="L437" s="11">
        <f>IF($G437="","",IF($F437="",1,MAX(1,COUNTIF($F$6:$F$505,$F437)-COUNTIFS($F$6:$F$505,$F437,$S$6:$S$505,"見送り"))))</f>
        <v/>
      </c>
      <c r="M437" s="12">
        <f>IF($G437="","",IF($K437="",'設定'!$C$6,$K437)/$L437)</f>
        <v/>
      </c>
      <c r="N437" s="12">
        <f>IF(OR($G437="",$I437=""),"",$I437-$G437-$M437-$J437)</f>
        <v/>
      </c>
      <c r="O437" s="13">
        <f>IF($N437="","",IF($G437&gt;0,$N437/$G437,0))</f>
        <v/>
      </c>
      <c r="P437" s="12">
        <f>IF($G437="","",$G437*$H437)</f>
        <v/>
      </c>
      <c r="Q437" s="12">
        <f>IF($N437="","",$N437-$I437*'設定'!$C$7)</f>
        <v/>
      </c>
      <c r="R437" s="14">
        <f>IF($N437="","",IF(AND($N437&gt;='設定'!$C$4,$O437&gt;='設定'!$C$5),IF($Q437&gt;=0,"仕入れOK","OK・下落に弱い"),"見送り"))</f>
        <v/>
      </c>
      <c r="S437" s="9" t="n"/>
      <c r="T437" s="8" t="n"/>
      <c r="U437" s="4" t="n"/>
      <c r="V437" s="8" t="n"/>
      <c r="W437" s="12">
        <f>IF(OR($G437="",$U437=""),"",$U437-$G437-$M437-$J437)</f>
        <v/>
      </c>
      <c r="X437" s="12">
        <f>IF(OR($I437="",$U437=""),"",$I437-$U437)</f>
        <v/>
      </c>
      <c r="Y437" s="11">
        <f>IF(OR($T437="",$V437=""),"",$V437-$T437)</f>
        <v/>
      </c>
      <c r="Z437" s="11">
        <f>IF(OR($S437="未発送",$S437="発送済",$S437="査定済",$S437="入金済"),1,0)</f>
        <v/>
      </c>
      <c r="AA437" s="11">
        <f>IF($U437="",0,1)</f>
        <v/>
      </c>
    </row>
    <row r="438">
      <c r="A438" s="8" t="n"/>
      <c r="B438" s="9" t="n"/>
      <c r="C438" s="10" t="n"/>
      <c r="D438" s="9" t="n"/>
      <c r="E438" s="9" t="n"/>
      <c r="F438" s="9" t="n"/>
      <c r="G438" s="4" t="n"/>
      <c r="H438" s="5" t="n"/>
      <c r="I438" s="4" t="n"/>
      <c r="J438" s="4" t="n"/>
      <c r="K438" s="4" t="n"/>
      <c r="L438" s="11">
        <f>IF($G438="","",IF($F438="",1,MAX(1,COUNTIF($F$6:$F$505,$F438)-COUNTIFS($F$6:$F$505,$F438,$S$6:$S$505,"見送り"))))</f>
        <v/>
      </c>
      <c r="M438" s="12">
        <f>IF($G438="","",IF($K438="",'設定'!$C$6,$K438)/$L438)</f>
        <v/>
      </c>
      <c r="N438" s="12">
        <f>IF(OR($G438="",$I438=""),"",$I438-$G438-$M438-$J438)</f>
        <v/>
      </c>
      <c r="O438" s="13">
        <f>IF($N438="","",IF($G438&gt;0,$N438/$G438,0))</f>
        <v/>
      </c>
      <c r="P438" s="12">
        <f>IF($G438="","",$G438*$H438)</f>
        <v/>
      </c>
      <c r="Q438" s="12">
        <f>IF($N438="","",$N438-$I438*'設定'!$C$7)</f>
        <v/>
      </c>
      <c r="R438" s="14">
        <f>IF($N438="","",IF(AND($N438&gt;='設定'!$C$4,$O438&gt;='設定'!$C$5),IF($Q438&gt;=0,"仕入れOK","OK・下落に弱い"),"見送り"))</f>
        <v/>
      </c>
      <c r="S438" s="9" t="n"/>
      <c r="T438" s="8" t="n"/>
      <c r="U438" s="4" t="n"/>
      <c r="V438" s="8" t="n"/>
      <c r="W438" s="12">
        <f>IF(OR($G438="",$U438=""),"",$U438-$G438-$M438-$J438)</f>
        <v/>
      </c>
      <c r="X438" s="12">
        <f>IF(OR($I438="",$U438=""),"",$I438-$U438)</f>
        <v/>
      </c>
      <c r="Y438" s="11">
        <f>IF(OR($T438="",$V438=""),"",$V438-$T438)</f>
        <v/>
      </c>
      <c r="Z438" s="11">
        <f>IF(OR($S438="未発送",$S438="発送済",$S438="査定済",$S438="入金済"),1,0)</f>
        <v/>
      </c>
      <c r="AA438" s="11">
        <f>IF($U438="",0,1)</f>
        <v/>
      </c>
    </row>
    <row r="439">
      <c r="A439" s="8" t="n"/>
      <c r="B439" s="9" t="n"/>
      <c r="C439" s="10" t="n"/>
      <c r="D439" s="9" t="n"/>
      <c r="E439" s="9" t="n"/>
      <c r="F439" s="9" t="n"/>
      <c r="G439" s="4" t="n"/>
      <c r="H439" s="5" t="n"/>
      <c r="I439" s="4" t="n"/>
      <c r="J439" s="4" t="n"/>
      <c r="K439" s="4" t="n"/>
      <c r="L439" s="11">
        <f>IF($G439="","",IF($F439="",1,MAX(1,COUNTIF($F$6:$F$505,$F439)-COUNTIFS($F$6:$F$505,$F439,$S$6:$S$505,"見送り"))))</f>
        <v/>
      </c>
      <c r="M439" s="12">
        <f>IF($G439="","",IF($K439="",'設定'!$C$6,$K439)/$L439)</f>
        <v/>
      </c>
      <c r="N439" s="12">
        <f>IF(OR($G439="",$I439=""),"",$I439-$G439-$M439-$J439)</f>
        <v/>
      </c>
      <c r="O439" s="13">
        <f>IF($N439="","",IF($G439&gt;0,$N439/$G439,0))</f>
        <v/>
      </c>
      <c r="P439" s="12">
        <f>IF($G439="","",$G439*$H439)</f>
        <v/>
      </c>
      <c r="Q439" s="12">
        <f>IF($N439="","",$N439-$I439*'設定'!$C$7)</f>
        <v/>
      </c>
      <c r="R439" s="14">
        <f>IF($N439="","",IF(AND($N439&gt;='設定'!$C$4,$O439&gt;='設定'!$C$5),IF($Q439&gt;=0,"仕入れOK","OK・下落に弱い"),"見送り"))</f>
        <v/>
      </c>
      <c r="S439" s="9" t="n"/>
      <c r="T439" s="8" t="n"/>
      <c r="U439" s="4" t="n"/>
      <c r="V439" s="8" t="n"/>
      <c r="W439" s="12">
        <f>IF(OR($G439="",$U439=""),"",$U439-$G439-$M439-$J439)</f>
        <v/>
      </c>
      <c r="X439" s="12">
        <f>IF(OR($I439="",$U439=""),"",$I439-$U439)</f>
        <v/>
      </c>
      <c r="Y439" s="11">
        <f>IF(OR($T439="",$V439=""),"",$V439-$T439)</f>
        <v/>
      </c>
      <c r="Z439" s="11">
        <f>IF(OR($S439="未発送",$S439="発送済",$S439="査定済",$S439="入金済"),1,0)</f>
        <v/>
      </c>
      <c r="AA439" s="11">
        <f>IF($U439="",0,1)</f>
        <v/>
      </c>
    </row>
    <row r="440">
      <c r="A440" s="8" t="n"/>
      <c r="B440" s="9" t="n"/>
      <c r="C440" s="10" t="n"/>
      <c r="D440" s="9" t="n"/>
      <c r="E440" s="9" t="n"/>
      <c r="F440" s="9" t="n"/>
      <c r="G440" s="4" t="n"/>
      <c r="H440" s="5" t="n"/>
      <c r="I440" s="4" t="n"/>
      <c r="J440" s="4" t="n"/>
      <c r="K440" s="4" t="n"/>
      <c r="L440" s="11">
        <f>IF($G440="","",IF($F440="",1,MAX(1,COUNTIF($F$6:$F$505,$F440)-COUNTIFS($F$6:$F$505,$F440,$S$6:$S$505,"見送り"))))</f>
        <v/>
      </c>
      <c r="M440" s="12">
        <f>IF($G440="","",IF($K440="",'設定'!$C$6,$K440)/$L440)</f>
        <v/>
      </c>
      <c r="N440" s="12">
        <f>IF(OR($G440="",$I440=""),"",$I440-$G440-$M440-$J440)</f>
        <v/>
      </c>
      <c r="O440" s="13">
        <f>IF($N440="","",IF($G440&gt;0,$N440/$G440,0))</f>
        <v/>
      </c>
      <c r="P440" s="12">
        <f>IF($G440="","",$G440*$H440)</f>
        <v/>
      </c>
      <c r="Q440" s="12">
        <f>IF($N440="","",$N440-$I440*'設定'!$C$7)</f>
        <v/>
      </c>
      <c r="R440" s="14">
        <f>IF($N440="","",IF(AND($N440&gt;='設定'!$C$4,$O440&gt;='設定'!$C$5),IF($Q440&gt;=0,"仕入れOK","OK・下落に弱い"),"見送り"))</f>
        <v/>
      </c>
      <c r="S440" s="9" t="n"/>
      <c r="T440" s="8" t="n"/>
      <c r="U440" s="4" t="n"/>
      <c r="V440" s="8" t="n"/>
      <c r="W440" s="12">
        <f>IF(OR($G440="",$U440=""),"",$U440-$G440-$M440-$J440)</f>
        <v/>
      </c>
      <c r="X440" s="12">
        <f>IF(OR($I440="",$U440=""),"",$I440-$U440)</f>
        <v/>
      </c>
      <c r="Y440" s="11">
        <f>IF(OR($T440="",$V440=""),"",$V440-$T440)</f>
        <v/>
      </c>
      <c r="Z440" s="11">
        <f>IF(OR($S440="未発送",$S440="発送済",$S440="査定済",$S440="入金済"),1,0)</f>
        <v/>
      </c>
      <c r="AA440" s="11">
        <f>IF($U440="",0,1)</f>
        <v/>
      </c>
    </row>
    <row r="441">
      <c r="A441" s="8" t="n"/>
      <c r="B441" s="9" t="n"/>
      <c r="C441" s="10" t="n"/>
      <c r="D441" s="9" t="n"/>
      <c r="E441" s="9" t="n"/>
      <c r="F441" s="9" t="n"/>
      <c r="G441" s="4" t="n"/>
      <c r="H441" s="5" t="n"/>
      <c r="I441" s="4" t="n"/>
      <c r="J441" s="4" t="n"/>
      <c r="K441" s="4" t="n"/>
      <c r="L441" s="11">
        <f>IF($G441="","",IF($F441="",1,MAX(1,COUNTIF($F$6:$F$505,$F441)-COUNTIFS($F$6:$F$505,$F441,$S$6:$S$505,"見送り"))))</f>
        <v/>
      </c>
      <c r="M441" s="12">
        <f>IF($G441="","",IF($K441="",'設定'!$C$6,$K441)/$L441)</f>
        <v/>
      </c>
      <c r="N441" s="12">
        <f>IF(OR($G441="",$I441=""),"",$I441-$G441-$M441-$J441)</f>
        <v/>
      </c>
      <c r="O441" s="13">
        <f>IF($N441="","",IF($G441&gt;0,$N441/$G441,0))</f>
        <v/>
      </c>
      <c r="P441" s="12">
        <f>IF($G441="","",$G441*$H441)</f>
        <v/>
      </c>
      <c r="Q441" s="12">
        <f>IF($N441="","",$N441-$I441*'設定'!$C$7)</f>
        <v/>
      </c>
      <c r="R441" s="14">
        <f>IF($N441="","",IF(AND($N441&gt;='設定'!$C$4,$O441&gt;='設定'!$C$5),IF($Q441&gt;=0,"仕入れOK","OK・下落に弱い"),"見送り"))</f>
        <v/>
      </c>
      <c r="S441" s="9" t="n"/>
      <c r="T441" s="8" t="n"/>
      <c r="U441" s="4" t="n"/>
      <c r="V441" s="8" t="n"/>
      <c r="W441" s="12">
        <f>IF(OR($G441="",$U441=""),"",$U441-$G441-$M441-$J441)</f>
        <v/>
      </c>
      <c r="X441" s="12">
        <f>IF(OR($I441="",$U441=""),"",$I441-$U441)</f>
        <v/>
      </c>
      <c r="Y441" s="11">
        <f>IF(OR($T441="",$V441=""),"",$V441-$T441)</f>
        <v/>
      </c>
      <c r="Z441" s="11">
        <f>IF(OR($S441="未発送",$S441="発送済",$S441="査定済",$S441="入金済"),1,0)</f>
        <v/>
      </c>
      <c r="AA441" s="11">
        <f>IF($U441="",0,1)</f>
        <v/>
      </c>
    </row>
    <row r="442">
      <c r="A442" s="8" t="n"/>
      <c r="B442" s="9" t="n"/>
      <c r="C442" s="10" t="n"/>
      <c r="D442" s="9" t="n"/>
      <c r="E442" s="9" t="n"/>
      <c r="F442" s="9" t="n"/>
      <c r="G442" s="4" t="n"/>
      <c r="H442" s="5" t="n"/>
      <c r="I442" s="4" t="n"/>
      <c r="J442" s="4" t="n"/>
      <c r="K442" s="4" t="n"/>
      <c r="L442" s="11">
        <f>IF($G442="","",IF($F442="",1,MAX(1,COUNTIF($F$6:$F$505,$F442)-COUNTIFS($F$6:$F$505,$F442,$S$6:$S$505,"見送り"))))</f>
        <v/>
      </c>
      <c r="M442" s="12">
        <f>IF($G442="","",IF($K442="",'設定'!$C$6,$K442)/$L442)</f>
        <v/>
      </c>
      <c r="N442" s="12">
        <f>IF(OR($G442="",$I442=""),"",$I442-$G442-$M442-$J442)</f>
        <v/>
      </c>
      <c r="O442" s="13">
        <f>IF($N442="","",IF($G442&gt;0,$N442/$G442,0))</f>
        <v/>
      </c>
      <c r="P442" s="12">
        <f>IF($G442="","",$G442*$H442)</f>
        <v/>
      </c>
      <c r="Q442" s="12">
        <f>IF($N442="","",$N442-$I442*'設定'!$C$7)</f>
        <v/>
      </c>
      <c r="R442" s="14">
        <f>IF($N442="","",IF(AND($N442&gt;='設定'!$C$4,$O442&gt;='設定'!$C$5),IF($Q442&gt;=0,"仕入れOK","OK・下落に弱い"),"見送り"))</f>
        <v/>
      </c>
      <c r="S442" s="9" t="n"/>
      <c r="T442" s="8" t="n"/>
      <c r="U442" s="4" t="n"/>
      <c r="V442" s="8" t="n"/>
      <c r="W442" s="12">
        <f>IF(OR($G442="",$U442=""),"",$U442-$G442-$M442-$J442)</f>
        <v/>
      </c>
      <c r="X442" s="12">
        <f>IF(OR($I442="",$U442=""),"",$I442-$U442)</f>
        <v/>
      </c>
      <c r="Y442" s="11">
        <f>IF(OR($T442="",$V442=""),"",$V442-$T442)</f>
        <v/>
      </c>
      <c r="Z442" s="11">
        <f>IF(OR($S442="未発送",$S442="発送済",$S442="査定済",$S442="入金済"),1,0)</f>
        <v/>
      </c>
      <c r="AA442" s="11">
        <f>IF($U442="",0,1)</f>
        <v/>
      </c>
    </row>
    <row r="443">
      <c r="A443" s="8" t="n"/>
      <c r="B443" s="9" t="n"/>
      <c r="C443" s="10" t="n"/>
      <c r="D443" s="9" t="n"/>
      <c r="E443" s="9" t="n"/>
      <c r="F443" s="9" t="n"/>
      <c r="G443" s="4" t="n"/>
      <c r="H443" s="5" t="n"/>
      <c r="I443" s="4" t="n"/>
      <c r="J443" s="4" t="n"/>
      <c r="K443" s="4" t="n"/>
      <c r="L443" s="11">
        <f>IF($G443="","",IF($F443="",1,MAX(1,COUNTIF($F$6:$F$505,$F443)-COUNTIFS($F$6:$F$505,$F443,$S$6:$S$505,"見送り"))))</f>
        <v/>
      </c>
      <c r="M443" s="12">
        <f>IF($G443="","",IF($K443="",'設定'!$C$6,$K443)/$L443)</f>
        <v/>
      </c>
      <c r="N443" s="12">
        <f>IF(OR($G443="",$I443=""),"",$I443-$G443-$M443-$J443)</f>
        <v/>
      </c>
      <c r="O443" s="13">
        <f>IF($N443="","",IF($G443&gt;0,$N443/$G443,0))</f>
        <v/>
      </c>
      <c r="P443" s="12">
        <f>IF($G443="","",$G443*$H443)</f>
        <v/>
      </c>
      <c r="Q443" s="12">
        <f>IF($N443="","",$N443-$I443*'設定'!$C$7)</f>
        <v/>
      </c>
      <c r="R443" s="14">
        <f>IF($N443="","",IF(AND($N443&gt;='設定'!$C$4,$O443&gt;='設定'!$C$5),IF($Q443&gt;=0,"仕入れOK","OK・下落に弱い"),"見送り"))</f>
        <v/>
      </c>
      <c r="S443" s="9" t="n"/>
      <c r="T443" s="8" t="n"/>
      <c r="U443" s="4" t="n"/>
      <c r="V443" s="8" t="n"/>
      <c r="W443" s="12">
        <f>IF(OR($G443="",$U443=""),"",$U443-$G443-$M443-$J443)</f>
        <v/>
      </c>
      <c r="X443" s="12">
        <f>IF(OR($I443="",$U443=""),"",$I443-$U443)</f>
        <v/>
      </c>
      <c r="Y443" s="11">
        <f>IF(OR($T443="",$V443=""),"",$V443-$T443)</f>
        <v/>
      </c>
      <c r="Z443" s="11">
        <f>IF(OR($S443="未発送",$S443="発送済",$S443="査定済",$S443="入金済"),1,0)</f>
        <v/>
      </c>
      <c r="AA443" s="11">
        <f>IF($U443="",0,1)</f>
        <v/>
      </c>
    </row>
    <row r="444">
      <c r="A444" s="8" t="n"/>
      <c r="B444" s="9" t="n"/>
      <c r="C444" s="10" t="n"/>
      <c r="D444" s="9" t="n"/>
      <c r="E444" s="9" t="n"/>
      <c r="F444" s="9" t="n"/>
      <c r="G444" s="4" t="n"/>
      <c r="H444" s="5" t="n"/>
      <c r="I444" s="4" t="n"/>
      <c r="J444" s="4" t="n"/>
      <c r="K444" s="4" t="n"/>
      <c r="L444" s="11">
        <f>IF($G444="","",IF($F444="",1,MAX(1,COUNTIF($F$6:$F$505,$F444)-COUNTIFS($F$6:$F$505,$F444,$S$6:$S$505,"見送り"))))</f>
        <v/>
      </c>
      <c r="M444" s="12">
        <f>IF($G444="","",IF($K444="",'設定'!$C$6,$K444)/$L444)</f>
        <v/>
      </c>
      <c r="N444" s="12">
        <f>IF(OR($G444="",$I444=""),"",$I444-$G444-$M444-$J444)</f>
        <v/>
      </c>
      <c r="O444" s="13">
        <f>IF($N444="","",IF($G444&gt;0,$N444/$G444,0))</f>
        <v/>
      </c>
      <c r="P444" s="12">
        <f>IF($G444="","",$G444*$H444)</f>
        <v/>
      </c>
      <c r="Q444" s="12">
        <f>IF($N444="","",$N444-$I444*'設定'!$C$7)</f>
        <v/>
      </c>
      <c r="R444" s="14">
        <f>IF($N444="","",IF(AND($N444&gt;='設定'!$C$4,$O444&gt;='設定'!$C$5),IF($Q444&gt;=0,"仕入れOK","OK・下落に弱い"),"見送り"))</f>
        <v/>
      </c>
      <c r="S444" s="9" t="n"/>
      <c r="T444" s="8" t="n"/>
      <c r="U444" s="4" t="n"/>
      <c r="V444" s="8" t="n"/>
      <c r="W444" s="12">
        <f>IF(OR($G444="",$U444=""),"",$U444-$G444-$M444-$J444)</f>
        <v/>
      </c>
      <c r="X444" s="12">
        <f>IF(OR($I444="",$U444=""),"",$I444-$U444)</f>
        <v/>
      </c>
      <c r="Y444" s="11">
        <f>IF(OR($T444="",$V444=""),"",$V444-$T444)</f>
        <v/>
      </c>
      <c r="Z444" s="11">
        <f>IF(OR($S444="未発送",$S444="発送済",$S444="査定済",$S444="入金済"),1,0)</f>
        <v/>
      </c>
      <c r="AA444" s="11">
        <f>IF($U444="",0,1)</f>
        <v/>
      </c>
    </row>
    <row r="445">
      <c r="A445" s="8" t="n"/>
      <c r="B445" s="9" t="n"/>
      <c r="C445" s="10" t="n"/>
      <c r="D445" s="9" t="n"/>
      <c r="E445" s="9" t="n"/>
      <c r="F445" s="9" t="n"/>
      <c r="G445" s="4" t="n"/>
      <c r="H445" s="5" t="n"/>
      <c r="I445" s="4" t="n"/>
      <c r="J445" s="4" t="n"/>
      <c r="K445" s="4" t="n"/>
      <c r="L445" s="11">
        <f>IF($G445="","",IF($F445="",1,MAX(1,COUNTIF($F$6:$F$505,$F445)-COUNTIFS($F$6:$F$505,$F445,$S$6:$S$505,"見送り"))))</f>
        <v/>
      </c>
      <c r="M445" s="12">
        <f>IF($G445="","",IF($K445="",'設定'!$C$6,$K445)/$L445)</f>
        <v/>
      </c>
      <c r="N445" s="12">
        <f>IF(OR($G445="",$I445=""),"",$I445-$G445-$M445-$J445)</f>
        <v/>
      </c>
      <c r="O445" s="13">
        <f>IF($N445="","",IF($G445&gt;0,$N445/$G445,0))</f>
        <v/>
      </c>
      <c r="P445" s="12">
        <f>IF($G445="","",$G445*$H445)</f>
        <v/>
      </c>
      <c r="Q445" s="12">
        <f>IF($N445="","",$N445-$I445*'設定'!$C$7)</f>
        <v/>
      </c>
      <c r="R445" s="14">
        <f>IF($N445="","",IF(AND($N445&gt;='設定'!$C$4,$O445&gt;='設定'!$C$5),IF($Q445&gt;=0,"仕入れOK","OK・下落に弱い"),"見送り"))</f>
        <v/>
      </c>
      <c r="S445" s="9" t="n"/>
      <c r="T445" s="8" t="n"/>
      <c r="U445" s="4" t="n"/>
      <c r="V445" s="8" t="n"/>
      <c r="W445" s="12">
        <f>IF(OR($G445="",$U445=""),"",$U445-$G445-$M445-$J445)</f>
        <v/>
      </c>
      <c r="X445" s="12">
        <f>IF(OR($I445="",$U445=""),"",$I445-$U445)</f>
        <v/>
      </c>
      <c r="Y445" s="11">
        <f>IF(OR($T445="",$V445=""),"",$V445-$T445)</f>
        <v/>
      </c>
      <c r="Z445" s="11">
        <f>IF(OR($S445="未発送",$S445="発送済",$S445="査定済",$S445="入金済"),1,0)</f>
        <v/>
      </c>
      <c r="AA445" s="11">
        <f>IF($U445="",0,1)</f>
        <v/>
      </c>
    </row>
    <row r="446">
      <c r="A446" s="8" t="n"/>
      <c r="B446" s="9" t="n"/>
      <c r="C446" s="10" t="n"/>
      <c r="D446" s="9" t="n"/>
      <c r="E446" s="9" t="n"/>
      <c r="F446" s="9" t="n"/>
      <c r="G446" s="4" t="n"/>
      <c r="H446" s="5" t="n"/>
      <c r="I446" s="4" t="n"/>
      <c r="J446" s="4" t="n"/>
      <c r="K446" s="4" t="n"/>
      <c r="L446" s="11">
        <f>IF($G446="","",IF($F446="",1,MAX(1,COUNTIF($F$6:$F$505,$F446)-COUNTIFS($F$6:$F$505,$F446,$S$6:$S$505,"見送り"))))</f>
        <v/>
      </c>
      <c r="M446" s="12">
        <f>IF($G446="","",IF($K446="",'設定'!$C$6,$K446)/$L446)</f>
        <v/>
      </c>
      <c r="N446" s="12">
        <f>IF(OR($G446="",$I446=""),"",$I446-$G446-$M446-$J446)</f>
        <v/>
      </c>
      <c r="O446" s="13">
        <f>IF($N446="","",IF($G446&gt;0,$N446/$G446,0))</f>
        <v/>
      </c>
      <c r="P446" s="12">
        <f>IF($G446="","",$G446*$H446)</f>
        <v/>
      </c>
      <c r="Q446" s="12">
        <f>IF($N446="","",$N446-$I446*'設定'!$C$7)</f>
        <v/>
      </c>
      <c r="R446" s="14">
        <f>IF($N446="","",IF(AND($N446&gt;='設定'!$C$4,$O446&gt;='設定'!$C$5),IF($Q446&gt;=0,"仕入れOK","OK・下落に弱い"),"見送り"))</f>
        <v/>
      </c>
      <c r="S446" s="9" t="n"/>
      <c r="T446" s="8" t="n"/>
      <c r="U446" s="4" t="n"/>
      <c r="V446" s="8" t="n"/>
      <c r="W446" s="12">
        <f>IF(OR($G446="",$U446=""),"",$U446-$G446-$M446-$J446)</f>
        <v/>
      </c>
      <c r="X446" s="12">
        <f>IF(OR($I446="",$U446=""),"",$I446-$U446)</f>
        <v/>
      </c>
      <c r="Y446" s="11">
        <f>IF(OR($T446="",$V446=""),"",$V446-$T446)</f>
        <v/>
      </c>
      <c r="Z446" s="11">
        <f>IF(OR($S446="未発送",$S446="発送済",$S446="査定済",$S446="入金済"),1,0)</f>
        <v/>
      </c>
      <c r="AA446" s="11">
        <f>IF($U446="",0,1)</f>
        <v/>
      </c>
    </row>
    <row r="447">
      <c r="A447" s="8" t="n"/>
      <c r="B447" s="9" t="n"/>
      <c r="C447" s="10" t="n"/>
      <c r="D447" s="9" t="n"/>
      <c r="E447" s="9" t="n"/>
      <c r="F447" s="9" t="n"/>
      <c r="G447" s="4" t="n"/>
      <c r="H447" s="5" t="n"/>
      <c r="I447" s="4" t="n"/>
      <c r="J447" s="4" t="n"/>
      <c r="K447" s="4" t="n"/>
      <c r="L447" s="11">
        <f>IF($G447="","",IF($F447="",1,MAX(1,COUNTIF($F$6:$F$505,$F447)-COUNTIFS($F$6:$F$505,$F447,$S$6:$S$505,"見送り"))))</f>
        <v/>
      </c>
      <c r="M447" s="12">
        <f>IF($G447="","",IF($K447="",'設定'!$C$6,$K447)/$L447)</f>
        <v/>
      </c>
      <c r="N447" s="12">
        <f>IF(OR($G447="",$I447=""),"",$I447-$G447-$M447-$J447)</f>
        <v/>
      </c>
      <c r="O447" s="13">
        <f>IF($N447="","",IF($G447&gt;0,$N447/$G447,0))</f>
        <v/>
      </c>
      <c r="P447" s="12">
        <f>IF($G447="","",$G447*$H447)</f>
        <v/>
      </c>
      <c r="Q447" s="12">
        <f>IF($N447="","",$N447-$I447*'設定'!$C$7)</f>
        <v/>
      </c>
      <c r="R447" s="14">
        <f>IF($N447="","",IF(AND($N447&gt;='設定'!$C$4,$O447&gt;='設定'!$C$5),IF($Q447&gt;=0,"仕入れOK","OK・下落に弱い"),"見送り"))</f>
        <v/>
      </c>
      <c r="S447" s="9" t="n"/>
      <c r="T447" s="8" t="n"/>
      <c r="U447" s="4" t="n"/>
      <c r="V447" s="8" t="n"/>
      <c r="W447" s="12">
        <f>IF(OR($G447="",$U447=""),"",$U447-$G447-$M447-$J447)</f>
        <v/>
      </c>
      <c r="X447" s="12">
        <f>IF(OR($I447="",$U447=""),"",$I447-$U447)</f>
        <v/>
      </c>
      <c r="Y447" s="11">
        <f>IF(OR($T447="",$V447=""),"",$V447-$T447)</f>
        <v/>
      </c>
      <c r="Z447" s="11">
        <f>IF(OR($S447="未発送",$S447="発送済",$S447="査定済",$S447="入金済"),1,0)</f>
        <v/>
      </c>
      <c r="AA447" s="11">
        <f>IF($U447="",0,1)</f>
        <v/>
      </c>
    </row>
    <row r="448">
      <c r="A448" s="8" t="n"/>
      <c r="B448" s="9" t="n"/>
      <c r="C448" s="10" t="n"/>
      <c r="D448" s="9" t="n"/>
      <c r="E448" s="9" t="n"/>
      <c r="F448" s="9" t="n"/>
      <c r="G448" s="4" t="n"/>
      <c r="H448" s="5" t="n"/>
      <c r="I448" s="4" t="n"/>
      <c r="J448" s="4" t="n"/>
      <c r="K448" s="4" t="n"/>
      <c r="L448" s="11">
        <f>IF($G448="","",IF($F448="",1,MAX(1,COUNTIF($F$6:$F$505,$F448)-COUNTIFS($F$6:$F$505,$F448,$S$6:$S$505,"見送り"))))</f>
        <v/>
      </c>
      <c r="M448" s="12">
        <f>IF($G448="","",IF($K448="",'設定'!$C$6,$K448)/$L448)</f>
        <v/>
      </c>
      <c r="N448" s="12">
        <f>IF(OR($G448="",$I448=""),"",$I448-$G448-$M448-$J448)</f>
        <v/>
      </c>
      <c r="O448" s="13">
        <f>IF($N448="","",IF($G448&gt;0,$N448/$G448,0))</f>
        <v/>
      </c>
      <c r="P448" s="12">
        <f>IF($G448="","",$G448*$H448)</f>
        <v/>
      </c>
      <c r="Q448" s="12">
        <f>IF($N448="","",$N448-$I448*'設定'!$C$7)</f>
        <v/>
      </c>
      <c r="R448" s="14">
        <f>IF($N448="","",IF(AND($N448&gt;='設定'!$C$4,$O448&gt;='設定'!$C$5),IF($Q448&gt;=0,"仕入れOK","OK・下落に弱い"),"見送り"))</f>
        <v/>
      </c>
      <c r="S448" s="9" t="n"/>
      <c r="T448" s="8" t="n"/>
      <c r="U448" s="4" t="n"/>
      <c r="V448" s="8" t="n"/>
      <c r="W448" s="12">
        <f>IF(OR($G448="",$U448=""),"",$U448-$G448-$M448-$J448)</f>
        <v/>
      </c>
      <c r="X448" s="12">
        <f>IF(OR($I448="",$U448=""),"",$I448-$U448)</f>
        <v/>
      </c>
      <c r="Y448" s="11">
        <f>IF(OR($T448="",$V448=""),"",$V448-$T448)</f>
        <v/>
      </c>
      <c r="Z448" s="11">
        <f>IF(OR($S448="未発送",$S448="発送済",$S448="査定済",$S448="入金済"),1,0)</f>
        <v/>
      </c>
      <c r="AA448" s="11">
        <f>IF($U448="",0,1)</f>
        <v/>
      </c>
    </row>
    <row r="449">
      <c r="A449" s="8" t="n"/>
      <c r="B449" s="9" t="n"/>
      <c r="C449" s="10" t="n"/>
      <c r="D449" s="9" t="n"/>
      <c r="E449" s="9" t="n"/>
      <c r="F449" s="9" t="n"/>
      <c r="G449" s="4" t="n"/>
      <c r="H449" s="5" t="n"/>
      <c r="I449" s="4" t="n"/>
      <c r="J449" s="4" t="n"/>
      <c r="K449" s="4" t="n"/>
      <c r="L449" s="11">
        <f>IF($G449="","",IF($F449="",1,MAX(1,COUNTIF($F$6:$F$505,$F449)-COUNTIFS($F$6:$F$505,$F449,$S$6:$S$505,"見送り"))))</f>
        <v/>
      </c>
      <c r="M449" s="12">
        <f>IF($G449="","",IF($K449="",'設定'!$C$6,$K449)/$L449)</f>
        <v/>
      </c>
      <c r="N449" s="12">
        <f>IF(OR($G449="",$I449=""),"",$I449-$G449-$M449-$J449)</f>
        <v/>
      </c>
      <c r="O449" s="13">
        <f>IF($N449="","",IF($G449&gt;0,$N449/$G449,0))</f>
        <v/>
      </c>
      <c r="P449" s="12">
        <f>IF($G449="","",$G449*$H449)</f>
        <v/>
      </c>
      <c r="Q449" s="12">
        <f>IF($N449="","",$N449-$I449*'設定'!$C$7)</f>
        <v/>
      </c>
      <c r="R449" s="14">
        <f>IF($N449="","",IF(AND($N449&gt;='設定'!$C$4,$O449&gt;='設定'!$C$5),IF($Q449&gt;=0,"仕入れOK","OK・下落に弱い"),"見送り"))</f>
        <v/>
      </c>
      <c r="S449" s="9" t="n"/>
      <c r="T449" s="8" t="n"/>
      <c r="U449" s="4" t="n"/>
      <c r="V449" s="8" t="n"/>
      <c r="W449" s="12">
        <f>IF(OR($G449="",$U449=""),"",$U449-$G449-$M449-$J449)</f>
        <v/>
      </c>
      <c r="X449" s="12">
        <f>IF(OR($I449="",$U449=""),"",$I449-$U449)</f>
        <v/>
      </c>
      <c r="Y449" s="11">
        <f>IF(OR($T449="",$V449=""),"",$V449-$T449)</f>
        <v/>
      </c>
      <c r="Z449" s="11">
        <f>IF(OR($S449="未発送",$S449="発送済",$S449="査定済",$S449="入金済"),1,0)</f>
        <v/>
      </c>
      <c r="AA449" s="11">
        <f>IF($U449="",0,1)</f>
        <v/>
      </c>
    </row>
    <row r="450">
      <c r="A450" s="8" t="n"/>
      <c r="B450" s="9" t="n"/>
      <c r="C450" s="10" t="n"/>
      <c r="D450" s="9" t="n"/>
      <c r="E450" s="9" t="n"/>
      <c r="F450" s="9" t="n"/>
      <c r="G450" s="4" t="n"/>
      <c r="H450" s="5" t="n"/>
      <c r="I450" s="4" t="n"/>
      <c r="J450" s="4" t="n"/>
      <c r="K450" s="4" t="n"/>
      <c r="L450" s="11">
        <f>IF($G450="","",IF($F450="",1,MAX(1,COUNTIF($F$6:$F$505,$F450)-COUNTIFS($F$6:$F$505,$F450,$S$6:$S$505,"見送り"))))</f>
        <v/>
      </c>
      <c r="M450" s="12">
        <f>IF($G450="","",IF($K450="",'設定'!$C$6,$K450)/$L450)</f>
        <v/>
      </c>
      <c r="N450" s="12">
        <f>IF(OR($G450="",$I450=""),"",$I450-$G450-$M450-$J450)</f>
        <v/>
      </c>
      <c r="O450" s="13">
        <f>IF($N450="","",IF($G450&gt;0,$N450/$G450,0))</f>
        <v/>
      </c>
      <c r="P450" s="12">
        <f>IF($G450="","",$G450*$H450)</f>
        <v/>
      </c>
      <c r="Q450" s="12">
        <f>IF($N450="","",$N450-$I450*'設定'!$C$7)</f>
        <v/>
      </c>
      <c r="R450" s="14">
        <f>IF($N450="","",IF(AND($N450&gt;='設定'!$C$4,$O450&gt;='設定'!$C$5),IF($Q450&gt;=0,"仕入れOK","OK・下落に弱い"),"見送り"))</f>
        <v/>
      </c>
      <c r="S450" s="9" t="n"/>
      <c r="T450" s="8" t="n"/>
      <c r="U450" s="4" t="n"/>
      <c r="V450" s="8" t="n"/>
      <c r="W450" s="12">
        <f>IF(OR($G450="",$U450=""),"",$U450-$G450-$M450-$J450)</f>
        <v/>
      </c>
      <c r="X450" s="12">
        <f>IF(OR($I450="",$U450=""),"",$I450-$U450)</f>
        <v/>
      </c>
      <c r="Y450" s="11">
        <f>IF(OR($T450="",$V450=""),"",$V450-$T450)</f>
        <v/>
      </c>
      <c r="Z450" s="11">
        <f>IF(OR($S450="未発送",$S450="発送済",$S450="査定済",$S450="入金済"),1,0)</f>
        <v/>
      </c>
      <c r="AA450" s="11">
        <f>IF($U450="",0,1)</f>
        <v/>
      </c>
    </row>
    <row r="451">
      <c r="A451" s="8" t="n"/>
      <c r="B451" s="9" t="n"/>
      <c r="C451" s="10" t="n"/>
      <c r="D451" s="9" t="n"/>
      <c r="E451" s="9" t="n"/>
      <c r="F451" s="9" t="n"/>
      <c r="G451" s="4" t="n"/>
      <c r="H451" s="5" t="n"/>
      <c r="I451" s="4" t="n"/>
      <c r="J451" s="4" t="n"/>
      <c r="K451" s="4" t="n"/>
      <c r="L451" s="11">
        <f>IF($G451="","",IF($F451="",1,MAX(1,COUNTIF($F$6:$F$505,$F451)-COUNTIFS($F$6:$F$505,$F451,$S$6:$S$505,"見送り"))))</f>
        <v/>
      </c>
      <c r="M451" s="12">
        <f>IF($G451="","",IF($K451="",'設定'!$C$6,$K451)/$L451)</f>
        <v/>
      </c>
      <c r="N451" s="12">
        <f>IF(OR($G451="",$I451=""),"",$I451-$G451-$M451-$J451)</f>
        <v/>
      </c>
      <c r="O451" s="13">
        <f>IF($N451="","",IF($G451&gt;0,$N451/$G451,0))</f>
        <v/>
      </c>
      <c r="P451" s="12">
        <f>IF($G451="","",$G451*$H451)</f>
        <v/>
      </c>
      <c r="Q451" s="12">
        <f>IF($N451="","",$N451-$I451*'設定'!$C$7)</f>
        <v/>
      </c>
      <c r="R451" s="14">
        <f>IF($N451="","",IF(AND($N451&gt;='設定'!$C$4,$O451&gt;='設定'!$C$5),IF($Q451&gt;=0,"仕入れOK","OK・下落に弱い"),"見送り"))</f>
        <v/>
      </c>
      <c r="S451" s="9" t="n"/>
      <c r="T451" s="8" t="n"/>
      <c r="U451" s="4" t="n"/>
      <c r="V451" s="8" t="n"/>
      <c r="W451" s="12">
        <f>IF(OR($G451="",$U451=""),"",$U451-$G451-$M451-$J451)</f>
        <v/>
      </c>
      <c r="X451" s="12">
        <f>IF(OR($I451="",$U451=""),"",$I451-$U451)</f>
        <v/>
      </c>
      <c r="Y451" s="11">
        <f>IF(OR($T451="",$V451=""),"",$V451-$T451)</f>
        <v/>
      </c>
      <c r="Z451" s="11">
        <f>IF(OR($S451="未発送",$S451="発送済",$S451="査定済",$S451="入金済"),1,0)</f>
        <v/>
      </c>
      <c r="AA451" s="11">
        <f>IF($U451="",0,1)</f>
        <v/>
      </c>
    </row>
    <row r="452">
      <c r="A452" s="8" t="n"/>
      <c r="B452" s="9" t="n"/>
      <c r="C452" s="10" t="n"/>
      <c r="D452" s="9" t="n"/>
      <c r="E452" s="9" t="n"/>
      <c r="F452" s="9" t="n"/>
      <c r="G452" s="4" t="n"/>
      <c r="H452" s="5" t="n"/>
      <c r="I452" s="4" t="n"/>
      <c r="J452" s="4" t="n"/>
      <c r="K452" s="4" t="n"/>
      <c r="L452" s="11">
        <f>IF($G452="","",IF($F452="",1,MAX(1,COUNTIF($F$6:$F$505,$F452)-COUNTIFS($F$6:$F$505,$F452,$S$6:$S$505,"見送り"))))</f>
        <v/>
      </c>
      <c r="M452" s="12">
        <f>IF($G452="","",IF($K452="",'設定'!$C$6,$K452)/$L452)</f>
        <v/>
      </c>
      <c r="N452" s="12">
        <f>IF(OR($G452="",$I452=""),"",$I452-$G452-$M452-$J452)</f>
        <v/>
      </c>
      <c r="O452" s="13">
        <f>IF($N452="","",IF($G452&gt;0,$N452/$G452,0))</f>
        <v/>
      </c>
      <c r="P452" s="12">
        <f>IF($G452="","",$G452*$H452)</f>
        <v/>
      </c>
      <c r="Q452" s="12">
        <f>IF($N452="","",$N452-$I452*'設定'!$C$7)</f>
        <v/>
      </c>
      <c r="R452" s="14">
        <f>IF($N452="","",IF(AND($N452&gt;='設定'!$C$4,$O452&gt;='設定'!$C$5),IF($Q452&gt;=0,"仕入れOK","OK・下落に弱い"),"見送り"))</f>
        <v/>
      </c>
      <c r="S452" s="9" t="n"/>
      <c r="T452" s="8" t="n"/>
      <c r="U452" s="4" t="n"/>
      <c r="V452" s="8" t="n"/>
      <c r="W452" s="12">
        <f>IF(OR($G452="",$U452=""),"",$U452-$G452-$M452-$J452)</f>
        <v/>
      </c>
      <c r="X452" s="12">
        <f>IF(OR($I452="",$U452=""),"",$I452-$U452)</f>
        <v/>
      </c>
      <c r="Y452" s="11">
        <f>IF(OR($T452="",$V452=""),"",$V452-$T452)</f>
        <v/>
      </c>
      <c r="Z452" s="11">
        <f>IF(OR($S452="未発送",$S452="発送済",$S452="査定済",$S452="入金済"),1,0)</f>
        <v/>
      </c>
      <c r="AA452" s="11">
        <f>IF($U452="",0,1)</f>
        <v/>
      </c>
    </row>
    <row r="453">
      <c r="A453" s="8" t="n"/>
      <c r="B453" s="9" t="n"/>
      <c r="C453" s="10" t="n"/>
      <c r="D453" s="9" t="n"/>
      <c r="E453" s="9" t="n"/>
      <c r="F453" s="9" t="n"/>
      <c r="G453" s="4" t="n"/>
      <c r="H453" s="5" t="n"/>
      <c r="I453" s="4" t="n"/>
      <c r="J453" s="4" t="n"/>
      <c r="K453" s="4" t="n"/>
      <c r="L453" s="11">
        <f>IF($G453="","",IF($F453="",1,MAX(1,COUNTIF($F$6:$F$505,$F453)-COUNTIFS($F$6:$F$505,$F453,$S$6:$S$505,"見送り"))))</f>
        <v/>
      </c>
      <c r="M453" s="12">
        <f>IF($G453="","",IF($K453="",'設定'!$C$6,$K453)/$L453)</f>
        <v/>
      </c>
      <c r="N453" s="12">
        <f>IF(OR($G453="",$I453=""),"",$I453-$G453-$M453-$J453)</f>
        <v/>
      </c>
      <c r="O453" s="13">
        <f>IF($N453="","",IF($G453&gt;0,$N453/$G453,0))</f>
        <v/>
      </c>
      <c r="P453" s="12">
        <f>IF($G453="","",$G453*$H453)</f>
        <v/>
      </c>
      <c r="Q453" s="12">
        <f>IF($N453="","",$N453-$I453*'設定'!$C$7)</f>
        <v/>
      </c>
      <c r="R453" s="14">
        <f>IF($N453="","",IF(AND($N453&gt;='設定'!$C$4,$O453&gt;='設定'!$C$5),IF($Q453&gt;=0,"仕入れOK","OK・下落に弱い"),"見送り"))</f>
        <v/>
      </c>
      <c r="S453" s="9" t="n"/>
      <c r="T453" s="8" t="n"/>
      <c r="U453" s="4" t="n"/>
      <c r="V453" s="8" t="n"/>
      <c r="W453" s="12">
        <f>IF(OR($G453="",$U453=""),"",$U453-$G453-$M453-$J453)</f>
        <v/>
      </c>
      <c r="X453" s="12">
        <f>IF(OR($I453="",$U453=""),"",$I453-$U453)</f>
        <v/>
      </c>
      <c r="Y453" s="11">
        <f>IF(OR($T453="",$V453=""),"",$V453-$T453)</f>
        <v/>
      </c>
      <c r="Z453" s="11">
        <f>IF(OR($S453="未発送",$S453="発送済",$S453="査定済",$S453="入金済"),1,0)</f>
        <v/>
      </c>
      <c r="AA453" s="11">
        <f>IF($U453="",0,1)</f>
        <v/>
      </c>
    </row>
    <row r="454">
      <c r="A454" s="8" t="n"/>
      <c r="B454" s="9" t="n"/>
      <c r="C454" s="10" t="n"/>
      <c r="D454" s="9" t="n"/>
      <c r="E454" s="9" t="n"/>
      <c r="F454" s="9" t="n"/>
      <c r="G454" s="4" t="n"/>
      <c r="H454" s="5" t="n"/>
      <c r="I454" s="4" t="n"/>
      <c r="J454" s="4" t="n"/>
      <c r="K454" s="4" t="n"/>
      <c r="L454" s="11">
        <f>IF($G454="","",IF($F454="",1,MAX(1,COUNTIF($F$6:$F$505,$F454)-COUNTIFS($F$6:$F$505,$F454,$S$6:$S$505,"見送り"))))</f>
        <v/>
      </c>
      <c r="M454" s="12">
        <f>IF($G454="","",IF($K454="",'設定'!$C$6,$K454)/$L454)</f>
        <v/>
      </c>
      <c r="N454" s="12">
        <f>IF(OR($G454="",$I454=""),"",$I454-$G454-$M454-$J454)</f>
        <v/>
      </c>
      <c r="O454" s="13">
        <f>IF($N454="","",IF($G454&gt;0,$N454/$G454,0))</f>
        <v/>
      </c>
      <c r="P454" s="12">
        <f>IF($G454="","",$G454*$H454)</f>
        <v/>
      </c>
      <c r="Q454" s="12">
        <f>IF($N454="","",$N454-$I454*'設定'!$C$7)</f>
        <v/>
      </c>
      <c r="R454" s="14">
        <f>IF($N454="","",IF(AND($N454&gt;='設定'!$C$4,$O454&gt;='設定'!$C$5),IF($Q454&gt;=0,"仕入れOK","OK・下落に弱い"),"見送り"))</f>
        <v/>
      </c>
      <c r="S454" s="9" t="n"/>
      <c r="T454" s="8" t="n"/>
      <c r="U454" s="4" t="n"/>
      <c r="V454" s="8" t="n"/>
      <c r="W454" s="12">
        <f>IF(OR($G454="",$U454=""),"",$U454-$G454-$M454-$J454)</f>
        <v/>
      </c>
      <c r="X454" s="12">
        <f>IF(OR($I454="",$U454=""),"",$I454-$U454)</f>
        <v/>
      </c>
      <c r="Y454" s="11">
        <f>IF(OR($T454="",$V454=""),"",$V454-$T454)</f>
        <v/>
      </c>
      <c r="Z454" s="11">
        <f>IF(OR($S454="未発送",$S454="発送済",$S454="査定済",$S454="入金済"),1,0)</f>
        <v/>
      </c>
      <c r="AA454" s="11">
        <f>IF($U454="",0,1)</f>
        <v/>
      </c>
    </row>
    <row r="455">
      <c r="A455" s="8" t="n"/>
      <c r="B455" s="9" t="n"/>
      <c r="C455" s="10" t="n"/>
      <c r="D455" s="9" t="n"/>
      <c r="E455" s="9" t="n"/>
      <c r="F455" s="9" t="n"/>
      <c r="G455" s="4" t="n"/>
      <c r="H455" s="5" t="n"/>
      <c r="I455" s="4" t="n"/>
      <c r="J455" s="4" t="n"/>
      <c r="K455" s="4" t="n"/>
      <c r="L455" s="11">
        <f>IF($G455="","",IF($F455="",1,MAX(1,COUNTIF($F$6:$F$505,$F455)-COUNTIFS($F$6:$F$505,$F455,$S$6:$S$505,"見送り"))))</f>
        <v/>
      </c>
      <c r="M455" s="12">
        <f>IF($G455="","",IF($K455="",'設定'!$C$6,$K455)/$L455)</f>
        <v/>
      </c>
      <c r="N455" s="12">
        <f>IF(OR($G455="",$I455=""),"",$I455-$G455-$M455-$J455)</f>
        <v/>
      </c>
      <c r="O455" s="13">
        <f>IF($N455="","",IF($G455&gt;0,$N455/$G455,0))</f>
        <v/>
      </c>
      <c r="P455" s="12">
        <f>IF($G455="","",$G455*$H455)</f>
        <v/>
      </c>
      <c r="Q455" s="12">
        <f>IF($N455="","",$N455-$I455*'設定'!$C$7)</f>
        <v/>
      </c>
      <c r="R455" s="14">
        <f>IF($N455="","",IF(AND($N455&gt;='設定'!$C$4,$O455&gt;='設定'!$C$5),IF($Q455&gt;=0,"仕入れOK","OK・下落に弱い"),"見送り"))</f>
        <v/>
      </c>
      <c r="S455" s="9" t="n"/>
      <c r="T455" s="8" t="n"/>
      <c r="U455" s="4" t="n"/>
      <c r="V455" s="8" t="n"/>
      <c r="W455" s="12">
        <f>IF(OR($G455="",$U455=""),"",$U455-$G455-$M455-$J455)</f>
        <v/>
      </c>
      <c r="X455" s="12">
        <f>IF(OR($I455="",$U455=""),"",$I455-$U455)</f>
        <v/>
      </c>
      <c r="Y455" s="11">
        <f>IF(OR($T455="",$V455=""),"",$V455-$T455)</f>
        <v/>
      </c>
      <c r="Z455" s="11">
        <f>IF(OR($S455="未発送",$S455="発送済",$S455="査定済",$S455="入金済"),1,0)</f>
        <v/>
      </c>
      <c r="AA455" s="11">
        <f>IF($U455="",0,1)</f>
        <v/>
      </c>
    </row>
    <row r="456">
      <c r="A456" s="8" t="n"/>
      <c r="B456" s="9" t="n"/>
      <c r="C456" s="10" t="n"/>
      <c r="D456" s="9" t="n"/>
      <c r="E456" s="9" t="n"/>
      <c r="F456" s="9" t="n"/>
      <c r="G456" s="4" t="n"/>
      <c r="H456" s="5" t="n"/>
      <c r="I456" s="4" t="n"/>
      <c r="J456" s="4" t="n"/>
      <c r="K456" s="4" t="n"/>
      <c r="L456" s="11">
        <f>IF($G456="","",IF($F456="",1,MAX(1,COUNTIF($F$6:$F$505,$F456)-COUNTIFS($F$6:$F$505,$F456,$S$6:$S$505,"見送り"))))</f>
        <v/>
      </c>
      <c r="M456" s="12">
        <f>IF($G456="","",IF($K456="",'設定'!$C$6,$K456)/$L456)</f>
        <v/>
      </c>
      <c r="N456" s="12">
        <f>IF(OR($G456="",$I456=""),"",$I456-$G456-$M456-$J456)</f>
        <v/>
      </c>
      <c r="O456" s="13">
        <f>IF($N456="","",IF($G456&gt;0,$N456/$G456,0))</f>
        <v/>
      </c>
      <c r="P456" s="12">
        <f>IF($G456="","",$G456*$H456)</f>
        <v/>
      </c>
      <c r="Q456" s="12">
        <f>IF($N456="","",$N456-$I456*'設定'!$C$7)</f>
        <v/>
      </c>
      <c r="R456" s="14">
        <f>IF($N456="","",IF(AND($N456&gt;='設定'!$C$4,$O456&gt;='設定'!$C$5),IF($Q456&gt;=0,"仕入れOK","OK・下落に弱い"),"見送り"))</f>
        <v/>
      </c>
      <c r="S456" s="9" t="n"/>
      <c r="T456" s="8" t="n"/>
      <c r="U456" s="4" t="n"/>
      <c r="V456" s="8" t="n"/>
      <c r="W456" s="12">
        <f>IF(OR($G456="",$U456=""),"",$U456-$G456-$M456-$J456)</f>
        <v/>
      </c>
      <c r="X456" s="12">
        <f>IF(OR($I456="",$U456=""),"",$I456-$U456)</f>
        <v/>
      </c>
      <c r="Y456" s="11">
        <f>IF(OR($T456="",$V456=""),"",$V456-$T456)</f>
        <v/>
      </c>
      <c r="Z456" s="11">
        <f>IF(OR($S456="未発送",$S456="発送済",$S456="査定済",$S456="入金済"),1,0)</f>
        <v/>
      </c>
      <c r="AA456" s="11">
        <f>IF($U456="",0,1)</f>
        <v/>
      </c>
    </row>
    <row r="457">
      <c r="A457" s="8" t="n"/>
      <c r="B457" s="9" t="n"/>
      <c r="C457" s="10" t="n"/>
      <c r="D457" s="9" t="n"/>
      <c r="E457" s="9" t="n"/>
      <c r="F457" s="9" t="n"/>
      <c r="G457" s="4" t="n"/>
      <c r="H457" s="5" t="n"/>
      <c r="I457" s="4" t="n"/>
      <c r="J457" s="4" t="n"/>
      <c r="K457" s="4" t="n"/>
      <c r="L457" s="11">
        <f>IF($G457="","",IF($F457="",1,MAX(1,COUNTIF($F$6:$F$505,$F457)-COUNTIFS($F$6:$F$505,$F457,$S$6:$S$505,"見送り"))))</f>
        <v/>
      </c>
      <c r="M457" s="12">
        <f>IF($G457="","",IF($K457="",'設定'!$C$6,$K457)/$L457)</f>
        <v/>
      </c>
      <c r="N457" s="12">
        <f>IF(OR($G457="",$I457=""),"",$I457-$G457-$M457-$J457)</f>
        <v/>
      </c>
      <c r="O457" s="13">
        <f>IF($N457="","",IF($G457&gt;0,$N457/$G457,0))</f>
        <v/>
      </c>
      <c r="P457" s="12">
        <f>IF($G457="","",$G457*$H457)</f>
        <v/>
      </c>
      <c r="Q457" s="12">
        <f>IF($N457="","",$N457-$I457*'設定'!$C$7)</f>
        <v/>
      </c>
      <c r="R457" s="14">
        <f>IF($N457="","",IF(AND($N457&gt;='設定'!$C$4,$O457&gt;='設定'!$C$5),IF($Q457&gt;=0,"仕入れOK","OK・下落に弱い"),"見送り"))</f>
        <v/>
      </c>
      <c r="S457" s="9" t="n"/>
      <c r="T457" s="8" t="n"/>
      <c r="U457" s="4" t="n"/>
      <c r="V457" s="8" t="n"/>
      <c r="W457" s="12">
        <f>IF(OR($G457="",$U457=""),"",$U457-$G457-$M457-$J457)</f>
        <v/>
      </c>
      <c r="X457" s="12">
        <f>IF(OR($I457="",$U457=""),"",$I457-$U457)</f>
        <v/>
      </c>
      <c r="Y457" s="11">
        <f>IF(OR($T457="",$V457=""),"",$V457-$T457)</f>
        <v/>
      </c>
      <c r="Z457" s="11">
        <f>IF(OR($S457="未発送",$S457="発送済",$S457="査定済",$S457="入金済"),1,0)</f>
        <v/>
      </c>
      <c r="AA457" s="11">
        <f>IF($U457="",0,1)</f>
        <v/>
      </c>
    </row>
    <row r="458">
      <c r="A458" s="8" t="n"/>
      <c r="B458" s="9" t="n"/>
      <c r="C458" s="10" t="n"/>
      <c r="D458" s="9" t="n"/>
      <c r="E458" s="9" t="n"/>
      <c r="F458" s="9" t="n"/>
      <c r="G458" s="4" t="n"/>
      <c r="H458" s="5" t="n"/>
      <c r="I458" s="4" t="n"/>
      <c r="J458" s="4" t="n"/>
      <c r="K458" s="4" t="n"/>
      <c r="L458" s="11">
        <f>IF($G458="","",IF($F458="",1,MAX(1,COUNTIF($F$6:$F$505,$F458)-COUNTIFS($F$6:$F$505,$F458,$S$6:$S$505,"見送り"))))</f>
        <v/>
      </c>
      <c r="M458" s="12">
        <f>IF($G458="","",IF($K458="",'設定'!$C$6,$K458)/$L458)</f>
        <v/>
      </c>
      <c r="N458" s="12">
        <f>IF(OR($G458="",$I458=""),"",$I458-$G458-$M458-$J458)</f>
        <v/>
      </c>
      <c r="O458" s="13">
        <f>IF($N458="","",IF($G458&gt;0,$N458/$G458,0))</f>
        <v/>
      </c>
      <c r="P458" s="12">
        <f>IF($G458="","",$G458*$H458)</f>
        <v/>
      </c>
      <c r="Q458" s="12">
        <f>IF($N458="","",$N458-$I458*'設定'!$C$7)</f>
        <v/>
      </c>
      <c r="R458" s="14">
        <f>IF($N458="","",IF(AND($N458&gt;='設定'!$C$4,$O458&gt;='設定'!$C$5),IF($Q458&gt;=0,"仕入れOK","OK・下落に弱い"),"見送り"))</f>
        <v/>
      </c>
      <c r="S458" s="9" t="n"/>
      <c r="T458" s="8" t="n"/>
      <c r="U458" s="4" t="n"/>
      <c r="V458" s="8" t="n"/>
      <c r="W458" s="12">
        <f>IF(OR($G458="",$U458=""),"",$U458-$G458-$M458-$J458)</f>
        <v/>
      </c>
      <c r="X458" s="12">
        <f>IF(OR($I458="",$U458=""),"",$I458-$U458)</f>
        <v/>
      </c>
      <c r="Y458" s="11">
        <f>IF(OR($T458="",$V458=""),"",$V458-$T458)</f>
        <v/>
      </c>
      <c r="Z458" s="11">
        <f>IF(OR($S458="未発送",$S458="発送済",$S458="査定済",$S458="入金済"),1,0)</f>
        <v/>
      </c>
      <c r="AA458" s="11">
        <f>IF($U458="",0,1)</f>
        <v/>
      </c>
    </row>
    <row r="459">
      <c r="A459" s="8" t="n"/>
      <c r="B459" s="9" t="n"/>
      <c r="C459" s="10" t="n"/>
      <c r="D459" s="9" t="n"/>
      <c r="E459" s="9" t="n"/>
      <c r="F459" s="9" t="n"/>
      <c r="G459" s="4" t="n"/>
      <c r="H459" s="5" t="n"/>
      <c r="I459" s="4" t="n"/>
      <c r="J459" s="4" t="n"/>
      <c r="K459" s="4" t="n"/>
      <c r="L459" s="11">
        <f>IF($G459="","",IF($F459="",1,MAX(1,COUNTIF($F$6:$F$505,$F459)-COUNTIFS($F$6:$F$505,$F459,$S$6:$S$505,"見送り"))))</f>
        <v/>
      </c>
      <c r="M459" s="12">
        <f>IF($G459="","",IF($K459="",'設定'!$C$6,$K459)/$L459)</f>
        <v/>
      </c>
      <c r="N459" s="12">
        <f>IF(OR($G459="",$I459=""),"",$I459-$G459-$M459-$J459)</f>
        <v/>
      </c>
      <c r="O459" s="13">
        <f>IF($N459="","",IF($G459&gt;0,$N459/$G459,0))</f>
        <v/>
      </c>
      <c r="P459" s="12">
        <f>IF($G459="","",$G459*$H459)</f>
        <v/>
      </c>
      <c r="Q459" s="12">
        <f>IF($N459="","",$N459-$I459*'設定'!$C$7)</f>
        <v/>
      </c>
      <c r="R459" s="14">
        <f>IF($N459="","",IF(AND($N459&gt;='設定'!$C$4,$O459&gt;='設定'!$C$5),IF($Q459&gt;=0,"仕入れOK","OK・下落に弱い"),"見送り"))</f>
        <v/>
      </c>
      <c r="S459" s="9" t="n"/>
      <c r="T459" s="8" t="n"/>
      <c r="U459" s="4" t="n"/>
      <c r="V459" s="8" t="n"/>
      <c r="W459" s="12">
        <f>IF(OR($G459="",$U459=""),"",$U459-$G459-$M459-$J459)</f>
        <v/>
      </c>
      <c r="X459" s="12">
        <f>IF(OR($I459="",$U459=""),"",$I459-$U459)</f>
        <v/>
      </c>
      <c r="Y459" s="11">
        <f>IF(OR($T459="",$V459=""),"",$V459-$T459)</f>
        <v/>
      </c>
      <c r="Z459" s="11">
        <f>IF(OR($S459="未発送",$S459="発送済",$S459="査定済",$S459="入金済"),1,0)</f>
        <v/>
      </c>
      <c r="AA459" s="11">
        <f>IF($U459="",0,1)</f>
        <v/>
      </c>
    </row>
    <row r="460">
      <c r="A460" s="8" t="n"/>
      <c r="B460" s="9" t="n"/>
      <c r="C460" s="10" t="n"/>
      <c r="D460" s="9" t="n"/>
      <c r="E460" s="9" t="n"/>
      <c r="F460" s="9" t="n"/>
      <c r="G460" s="4" t="n"/>
      <c r="H460" s="5" t="n"/>
      <c r="I460" s="4" t="n"/>
      <c r="J460" s="4" t="n"/>
      <c r="K460" s="4" t="n"/>
      <c r="L460" s="11">
        <f>IF($G460="","",IF($F460="",1,MAX(1,COUNTIF($F$6:$F$505,$F460)-COUNTIFS($F$6:$F$505,$F460,$S$6:$S$505,"見送り"))))</f>
        <v/>
      </c>
      <c r="M460" s="12">
        <f>IF($G460="","",IF($K460="",'設定'!$C$6,$K460)/$L460)</f>
        <v/>
      </c>
      <c r="N460" s="12">
        <f>IF(OR($G460="",$I460=""),"",$I460-$G460-$M460-$J460)</f>
        <v/>
      </c>
      <c r="O460" s="13">
        <f>IF($N460="","",IF($G460&gt;0,$N460/$G460,0))</f>
        <v/>
      </c>
      <c r="P460" s="12">
        <f>IF($G460="","",$G460*$H460)</f>
        <v/>
      </c>
      <c r="Q460" s="12">
        <f>IF($N460="","",$N460-$I460*'設定'!$C$7)</f>
        <v/>
      </c>
      <c r="R460" s="14">
        <f>IF($N460="","",IF(AND($N460&gt;='設定'!$C$4,$O460&gt;='設定'!$C$5),IF($Q460&gt;=0,"仕入れOK","OK・下落に弱い"),"見送り"))</f>
        <v/>
      </c>
      <c r="S460" s="9" t="n"/>
      <c r="T460" s="8" t="n"/>
      <c r="U460" s="4" t="n"/>
      <c r="V460" s="8" t="n"/>
      <c r="W460" s="12">
        <f>IF(OR($G460="",$U460=""),"",$U460-$G460-$M460-$J460)</f>
        <v/>
      </c>
      <c r="X460" s="12">
        <f>IF(OR($I460="",$U460=""),"",$I460-$U460)</f>
        <v/>
      </c>
      <c r="Y460" s="11">
        <f>IF(OR($T460="",$V460=""),"",$V460-$T460)</f>
        <v/>
      </c>
      <c r="Z460" s="11">
        <f>IF(OR($S460="未発送",$S460="発送済",$S460="査定済",$S460="入金済"),1,0)</f>
        <v/>
      </c>
      <c r="AA460" s="11">
        <f>IF($U460="",0,1)</f>
        <v/>
      </c>
    </row>
    <row r="461">
      <c r="A461" s="8" t="n"/>
      <c r="B461" s="9" t="n"/>
      <c r="C461" s="10" t="n"/>
      <c r="D461" s="9" t="n"/>
      <c r="E461" s="9" t="n"/>
      <c r="F461" s="9" t="n"/>
      <c r="G461" s="4" t="n"/>
      <c r="H461" s="5" t="n"/>
      <c r="I461" s="4" t="n"/>
      <c r="J461" s="4" t="n"/>
      <c r="K461" s="4" t="n"/>
      <c r="L461" s="11">
        <f>IF($G461="","",IF($F461="",1,MAX(1,COUNTIF($F$6:$F$505,$F461)-COUNTIFS($F$6:$F$505,$F461,$S$6:$S$505,"見送り"))))</f>
        <v/>
      </c>
      <c r="M461" s="12">
        <f>IF($G461="","",IF($K461="",'設定'!$C$6,$K461)/$L461)</f>
        <v/>
      </c>
      <c r="N461" s="12">
        <f>IF(OR($G461="",$I461=""),"",$I461-$G461-$M461-$J461)</f>
        <v/>
      </c>
      <c r="O461" s="13">
        <f>IF($N461="","",IF($G461&gt;0,$N461/$G461,0))</f>
        <v/>
      </c>
      <c r="P461" s="12">
        <f>IF($G461="","",$G461*$H461)</f>
        <v/>
      </c>
      <c r="Q461" s="12">
        <f>IF($N461="","",$N461-$I461*'設定'!$C$7)</f>
        <v/>
      </c>
      <c r="R461" s="14">
        <f>IF($N461="","",IF(AND($N461&gt;='設定'!$C$4,$O461&gt;='設定'!$C$5),IF($Q461&gt;=0,"仕入れOK","OK・下落に弱い"),"見送り"))</f>
        <v/>
      </c>
      <c r="S461" s="9" t="n"/>
      <c r="T461" s="8" t="n"/>
      <c r="U461" s="4" t="n"/>
      <c r="V461" s="8" t="n"/>
      <c r="W461" s="12">
        <f>IF(OR($G461="",$U461=""),"",$U461-$G461-$M461-$J461)</f>
        <v/>
      </c>
      <c r="X461" s="12">
        <f>IF(OR($I461="",$U461=""),"",$I461-$U461)</f>
        <v/>
      </c>
      <c r="Y461" s="11">
        <f>IF(OR($T461="",$V461=""),"",$V461-$T461)</f>
        <v/>
      </c>
      <c r="Z461" s="11">
        <f>IF(OR($S461="未発送",$S461="発送済",$S461="査定済",$S461="入金済"),1,0)</f>
        <v/>
      </c>
      <c r="AA461" s="11">
        <f>IF($U461="",0,1)</f>
        <v/>
      </c>
    </row>
    <row r="462">
      <c r="A462" s="8" t="n"/>
      <c r="B462" s="9" t="n"/>
      <c r="C462" s="10" t="n"/>
      <c r="D462" s="9" t="n"/>
      <c r="E462" s="9" t="n"/>
      <c r="F462" s="9" t="n"/>
      <c r="G462" s="4" t="n"/>
      <c r="H462" s="5" t="n"/>
      <c r="I462" s="4" t="n"/>
      <c r="J462" s="4" t="n"/>
      <c r="K462" s="4" t="n"/>
      <c r="L462" s="11">
        <f>IF($G462="","",IF($F462="",1,MAX(1,COUNTIF($F$6:$F$505,$F462)-COUNTIFS($F$6:$F$505,$F462,$S$6:$S$505,"見送り"))))</f>
        <v/>
      </c>
      <c r="M462" s="12">
        <f>IF($G462="","",IF($K462="",'設定'!$C$6,$K462)/$L462)</f>
        <v/>
      </c>
      <c r="N462" s="12">
        <f>IF(OR($G462="",$I462=""),"",$I462-$G462-$M462-$J462)</f>
        <v/>
      </c>
      <c r="O462" s="13">
        <f>IF($N462="","",IF($G462&gt;0,$N462/$G462,0))</f>
        <v/>
      </c>
      <c r="P462" s="12">
        <f>IF($G462="","",$G462*$H462)</f>
        <v/>
      </c>
      <c r="Q462" s="12">
        <f>IF($N462="","",$N462-$I462*'設定'!$C$7)</f>
        <v/>
      </c>
      <c r="R462" s="14">
        <f>IF($N462="","",IF(AND($N462&gt;='設定'!$C$4,$O462&gt;='設定'!$C$5),IF($Q462&gt;=0,"仕入れOK","OK・下落に弱い"),"見送り"))</f>
        <v/>
      </c>
      <c r="S462" s="9" t="n"/>
      <c r="T462" s="8" t="n"/>
      <c r="U462" s="4" t="n"/>
      <c r="V462" s="8" t="n"/>
      <c r="W462" s="12">
        <f>IF(OR($G462="",$U462=""),"",$U462-$G462-$M462-$J462)</f>
        <v/>
      </c>
      <c r="X462" s="12">
        <f>IF(OR($I462="",$U462=""),"",$I462-$U462)</f>
        <v/>
      </c>
      <c r="Y462" s="11">
        <f>IF(OR($T462="",$V462=""),"",$V462-$T462)</f>
        <v/>
      </c>
      <c r="Z462" s="11">
        <f>IF(OR($S462="未発送",$S462="発送済",$S462="査定済",$S462="入金済"),1,0)</f>
        <v/>
      </c>
      <c r="AA462" s="11">
        <f>IF($U462="",0,1)</f>
        <v/>
      </c>
    </row>
    <row r="463">
      <c r="A463" s="8" t="n"/>
      <c r="B463" s="9" t="n"/>
      <c r="C463" s="10" t="n"/>
      <c r="D463" s="9" t="n"/>
      <c r="E463" s="9" t="n"/>
      <c r="F463" s="9" t="n"/>
      <c r="G463" s="4" t="n"/>
      <c r="H463" s="5" t="n"/>
      <c r="I463" s="4" t="n"/>
      <c r="J463" s="4" t="n"/>
      <c r="K463" s="4" t="n"/>
      <c r="L463" s="11">
        <f>IF($G463="","",IF($F463="",1,MAX(1,COUNTIF($F$6:$F$505,$F463)-COUNTIFS($F$6:$F$505,$F463,$S$6:$S$505,"見送り"))))</f>
        <v/>
      </c>
      <c r="M463" s="12">
        <f>IF($G463="","",IF($K463="",'設定'!$C$6,$K463)/$L463)</f>
        <v/>
      </c>
      <c r="N463" s="12">
        <f>IF(OR($G463="",$I463=""),"",$I463-$G463-$M463-$J463)</f>
        <v/>
      </c>
      <c r="O463" s="13">
        <f>IF($N463="","",IF($G463&gt;0,$N463/$G463,0))</f>
        <v/>
      </c>
      <c r="P463" s="12">
        <f>IF($G463="","",$G463*$H463)</f>
        <v/>
      </c>
      <c r="Q463" s="12">
        <f>IF($N463="","",$N463-$I463*'設定'!$C$7)</f>
        <v/>
      </c>
      <c r="R463" s="14">
        <f>IF($N463="","",IF(AND($N463&gt;='設定'!$C$4,$O463&gt;='設定'!$C$5),IF($Q463&gt;=0,"仕入れOK","OK・下落に弱い"),"見送り"))</f>
        <v/>
      </c>
      <c r="S463" s="9" t="n"/>
      <c r="T463" s="8" t="n"/>
      <c r="U463" s="4" t="n"/>
      <c r="V463" s="8" t="n"/>
      <c r="W463" s="12">
        <f>IF(OR($G463="",$U463=""),"",$U463-$G463-$M463-$J463)</f>
        <v/>
      </c>
      <c r="X463" s="12">
        <f>IF(OR($I463="",$U463=""),"",$I463-$U463)</f>
        <v/>
      </c>
      <c r="Y463" s="11">
        <f>IF(OR($T463="",$V463=""),"",$V463-$T463)</f>
        <v/>
      </c>
      <c r="Z463" s="11">
        <f>IF(OR($S463="未発送",$S463="発送済",$S463="査定済",$S463="入金済"),1,0)</f>
        <v/>
      </c>
      <c r="AA463" s="11">
        <f>IF($U463="",0,1)</f>
        <v/>
      </c>
    </row>
    <row r="464">
      <c r="A464" s="8" t="n"/>
      <c r="B464" s="9" t="n"/>
      <c r="C464" s="10" t="n"/>
      <c r="D464" s="9" t="n"/>
      <c r="E464" s="9" t="n"/>
      <c r="F464" s="9" t="n"/>
      <c r="G464" s="4" t="n"/>
      <c r="H464" s="5" t="n"/>
      <c r="I464" s="4" t="n"/>
      <c r="J464" s="4" t="n"/>
      <c r="K464" s="4" t="n"/>
      <c r="L464" s="11">
        <f>IF($G464="","",IF($F464="",1,MAX(1,COUNTIF($F$6:$F$505,$F464)-COUNTIFS($F$6:$F$505,$F464,$S$6:$S$505,"見送り"))))</f>
        <v/>
      </c>
      <c r="M464" s="12">
        <f>IF($G464="","",IF($K464="",'設定'!$C$6,$K464)/$L464)</f>
        <v/>
      </c>
      <c r="N464" s="12">
        <f>IF(OR($G464="",$I464=""),"",$I464-$G464-$M464-$J464)</f>
        <v/>
      </c>
      <c r="O464" s="13">
        <f>IF($N464="","",IF($G464&gt;0,$N464/$G464,0))</f>
        <v/>
      </c>
      <c r="P464" s="12">
        <f>IF($G464="","",$G464*$H464)</f>
        <v/>
      </c>
      <c r="Q464" s="12">
        <f>IF($N464="","",$N464-$I464*'設定'!$C$7)</f>
        <v/>
      </c>
      <c r="R464" s="14">
        <f>IF($N464="","",IF(AND($N464&gt;='設定'!$C$4,$O464&gt;='設定'!$C$5),IF($Q464&gt;=0,"仕入れOK","OK・下落に弱い"),"見送り"))</f>
        <v/>
      </c>
      <c r="S464" s="9" t="n"/>
      <c r="T464" s="8" t="n"/>
      <c r="U464" s="4" t="n"/>
      <c r="V464" s="8" t="n"/>
      <c r="W464" s="12">
        <f>IF(OR($G464="",$U464=""),"",$U464-$G464-$M464-$J464)</f>
        <v/>
      </c>
      <c r="X464" s="12">
        <f>IF(OR($I464="",$U464=""),"",$I464-$U464)</f>
        <v/>
      </c>
      <c r="Y464" s="11">
        <f>IF(OR($T464="",$V464=""),"",$V464-$T464)</f>
        <v/>
      </c>
      <c r="Z464" s="11">
        <f>IF(OR($S464="未発送",$S464="発送済",$S464="査定済",$S464="入金済"),1,0)</f>
        <v/>
      </c>
      <c r="AA464" s="11">
        <f>IF($U464="",0,1)</f>
        <v/>
      </c>
    </row>
    <row r="465">
      <c r="A465" s="8" t="n"/>
      <c r="B465" s="9" t="n"/>
      <c r="C465" s="10" t="n"/>
      <c r="D465" s="9" t="n"/>
      <c r="E465" s="9" t="n"/>
      <c r="F465" s="9" t="n"/>
      <c r="G465" s="4" t="n"/>
      <c r="H465" s="5" t="n"/>
      <c r="I465" s="4" t="n"/>
      <c r="J465" s="4" t="n"/>
      <c r="K465" s="4" t="n"/>
      <c r="L465" s="11">
        <f>IF($G465="","",IF($F465="",1,MAX(1,COUNTIF($F$6:$F$505,$F465)-COUNTIFS($F$6:$F$505,$F465,$S$6:$S$505,"見送り"))))</f>
        <v/>
      </c>
      <c r="M465" s="12">
        <f>IF($G465="","",IF($K465="",'設定'!$C$6,$K465)/$L465)</f>
        <v/>
      </c>
      <c r="N465" s="12">
        <f>IF(OR($G465="",$I465=""),"",$I465-$G465-$M465-$J465)</f>
        <v/>
      </c>
      <c r="O465" s="13">
        <f>IF($N465="","",IF($G465&gt;0,$N465/$G465,0))</f>
        <v/>
      </c>
      <c r="P465" s="12">
        <f>IF($G465="","",$G465*$H465)</f>
        <v/>
      </c>
      <c r="Q465" s="12">
        <f>IF($N465="","",$N465-$I465*'設定'!$C$7)</f>
        <v/>
      </c>
      <c r="R465" s="14">
        <f>IF($N465="","",IF(AND($N465&gt;='設定'!$C$4,$O465&gt;='設定'!$C$5),IF($Q465&gt;=0,"仕入れOK","OK・下落に弱い"),"見送り"))</f>
        <v/>
      </c>
      <c r="S465" s="9" t="n"/>
      <c r="T465" s="8" t="n"/>
      <c r="U465" s="4" t="n"/>
      <c r="V465" s="8" t="n"/>
      <c r="W465" s="12">
        <f>IF(OR($G465="",$U465=""),"",$U465-$G465-$M465-$J465)</f>
        <v/>
      </c>
      <c r="X465" s="12">
        <f>IF(OR($I465="",$U465=""),"",$I465-$U465)</f>
        <v/>
      </c>
      <c r="Y465" s="11">
        <f>IF(OR($T465="",$V465=""),"",$V465-$T465)</f>
        <v/>
      </c>
      <c r="Z465" s="11">
        <f>IF(OR($S465="未発送",$S465="発送済",$S465="査定済",$S465="入金済"),1,0)</f>
        <v/>
      </c>
      <c r="AA465" s="11">
        <f>IF($U465="",0,1)</f>
        <v/>
      </c>
    </row>
    <row r="466">
      <c r="A466" s="8" t="n"/>
      <c r="B466" s="9" t="n"/>
      <c r="C466" s="10" t="n"/>
      <c r="D466" s="9" t="n"/>
      <c r="E466" s="9" t="n"/>
      <c r="F466" s="9" t="n"/>
      <c r="G466" s="4" t="n"/>
      <c r="H466" s="5" t="n"/>
      <c r="I466" s="4" t="n"/>
      <c r="J466" s="4" t="n"/>
      <c r="K466" s="4" t="n"/>
      <c r="L466" s="11">
        <f>IF($G466="","",IF($F466="",1,MAX(1,COUNTIF($F$6:$F$505,$F466)-COUNTIFS($F$6:$F$505,$F466,$S$6:$S$505,"見送り"))))</f>
        <v/>
      </c>
      <c r="M466" s="12">
        <f>IF($G466="","",IF($K466="",'設定'!$C$6,$K466)/$L466)</f>
        <v/>
      </c>
      <c r="N466" s="12">
        <f>IF(OR($G466="",$I466=""),"",$I466-$G466-$M466-$J466)</f>
        <v/>
      </c>
      <c r="O466" s="13">
        <f>IF($N466="","",IF($G466&gt;0,$N466/$G466,0))</f>
        <v/>
      </c>
      <c r="P466" s="12">
        <f>IF($G466="","",$G466*$H466)</f>
        <v/>
      </c>
      <c r="Q466" s="12">
        <f>IF($N466="","",$N466-$I466*'設定'!$C$7)</f>
        <v/>
      </c>
      <c r="R466" s="14">
        <f>IF($N466="","",IF(AND($N466&gt;='設定'!$C$4,$O466&gt;='設定'!$C$5),IF($Q466&gt;=0,"仕入れOK","OK・下落に弱い"),"見送り"))</f>
        <v/>
      </c>
      <c r="S466" s="9" t="n"/>
      <c r="T466" s="8" t="n"/>
      <c r="U466" s="4" t="n"/>
      <c r="V466" s="8" t="n"/>
      <c r="W466" s="12">
        <f>IF(OR($G466="",$U466=""),"",$U466-$G466-$M466-$J466)</f>
        <v/>
      </c>
      <c r="X466" s="12">
        <f>IF(OR($I466="",$U466=""),"",$I466-$U466)</f>
        <v/>
      </c>
      <c r="Y466" s="11">
        <f>IF(OR($T466="",$V466=""),"",$V466-$T466)</f>
        <v/>
      </c>
      <c r="Z466" s="11">
        <f>IF(OR($S466="未発送",$S466="発送済",$S466="査定済",$S466="入金済"),1,0)</f>
        <v/>
      </c>
      <c r="AA466" s="11">
        <f>IF($U466="",0,1)</f>
        <v/>
      </c>
    </row>
    <row r="467">
      <c r="A467" s="8" t="n"/>
      <c r="B467" s="9" t="n"/>
      <c r="C467" s="10" t="n"/>
      <c r="D467" s="9" t="n"/>
      <c r="E467" s="9" t="n"/>
      <c r="F467" s="9" t="n"/>
      <c r="G467" s="4" t="n"/>
      <c r="H467" s="5" t="n"/>
      <c r="I467" s="4" t="n"/>
      <c r="J467" s="4" t="n"/>
      <c r="K467" s="4" t="n"/>
      <c r="L467" s="11">
        <f>IF($G467="","",IF($F467="",1,MAX(1,COUNTIF($F$6:$F$505,$F467)-COUNTIFS($F$6:$F$505,$F467,$S$6:$S$505,"見送り"))))</f>
        <v/>
      </c>
      <c r="M467" s="12">
        <f>IF($G467="","",IF($K467="",'設定'!$C$6,$K467)/$L467)</f>
        <v/>
      </c>
      <c r="N467" s="12">
        <f>IF(OR($G467="",$I467=""),"",$I467-$G467-$M467-$J467)</f>
        <v/>
      </c>
      <c r="O467" s="13">
        <f>IF($N467="","",IF($G467&gt;0,$N467/$G467,0))</f>
        <v/>
      </c>
      <c r="P467" s="12">
        <f>IF($G467="","",$G467*$H467)</f>
        <v/>
      </c>
      <c r="Q467" s="12">
        <f>IF($N467="","",$N467-$I467*'設定'!$C$7)</f>
        <v/>
      </c>
      <c r="R467" s="14">
        <f>IF($N467="","",IF(AND($N467&gt;='設定'!$C$4,$O467&gt;='設定'!$C$5),IF($Q467&gt;=0,"仕入れOK","OK・下落に弱い"),"見送り"))</f>
        <v/>
      </c>
      <c r="S467" s="9" t="n"/>
      <c r="T467" s="8" t="n"/>
      <c r="U467" s="4" t="n"/>
      <c r="V467" s="8" t="n"/>
      <c r="W467" s="12">
        <f>IF(OR($G467="",$U467=""),"",$U467-$G467-$M467-$J467)</f>
        <v/>
      </c>
      <c r="X467" s="12">
        <f>IF(OR($I467="",$U467=""),"",$I467-$U467)</f>
        <v/>
      </c>
      <c r="Y467" s="11">
        <f>IF(OR($T467="",$V467=""),"",$V467-$T467)</f>
        <v/>
      </c>
      <c r="Z467" s="11">
        <f>IF(OR($S467="未発送",$S467="発送済",$S467="査定済",$S467="入金済"),1,0)</f>
        <v/>
      </c>
      <c r="AA467" s="11">
        <f>IF($U467="",0,1)</f>
        <v/>
      </c>
    </row>
    <row r="468">
      <c r="A468" s="8" t="n"/>
      <c r="B468" s="9" t="n"/>
      <c r="C468" s="10" t="n"/>
      <c r="D468" s="9" t="n"/>
      <c r="E468" s="9" t="n"/>
      <c r="F468" s="9" t="n"/>
      <c r="G468" s="4" t="n"/>
      <c r="H468" s="5" t="n"/>
      <c r="I468" s="4" t="n"/>
      <c r="J468" s="4" t="n"/>
      <c r="K468" s="4" t="n"/>
      <c r="L468" s="11">
        <f>IF($G468="","",IF($F468="",1,MAX(1,COUNTIF($F$6:$F$505,$F468)-COUNTIFS($F$6:$F$505,$F468,$S$6:$S$505,"見送り"))))</f>
        <v/>
      </c>
      <c r="M468" s="12">
        <f>IF($G468="","",IF($K468="",'設定'!$C$6,$K468)/$L468)</f>
        <v/>
      </c>
      <c r="N468" s="12">
        <f>IF(OR($G468="",$I468=""),"",$I468-$G468-$M468-$J468)</f>
        <v/>
      </c>
      <c r="O468" s="13">
        <f>IF($N468="","",IF($G468&gt;0,$N468/$G468,0))</f>
        <v/>
      </c>
      <c r="P468" s="12">
        <f>IF($G468="","",$G468*$H468)</f>
        <v/>
      </c>
      <c r="Q468" s="12">
        <f>IF($N468="","",$N468-$I468*'設定'!$C$7)</f>
        <v/>
      </c>
      <c r="R468" s="14">
        <f>IF($N468="","",IF(AND($N468&gt;='設定'!$C$4,$O468&gt;='設定'!$C$5),IF($Q468&gt;=0,"仕入れOK","OK・下落に弱い"),"見送り"))</f>
        <v/>
      </c>
      <c r="S468" s="9" t="n"/>
      <c r="T468" s="8" t="n"/>
      <c r="U468" s="4" t="n"/>
      <c r="V468" s="8" t="n"/>
      <c r="W468" s="12">
        <f>IF(OR($G468="",$U468=""),"",$U468-$G468-$M468-$J468)</f>
        <v/>
      </c>
      <c r="X468" s="12">
        <f>IF(OR($I468="",$U468=""),"",$I468-$U468)</f>
        <v/>
      </c>
      <c r="Y468" s="11">
        <f>IF(OR($T468="",$V468=""),"",$V468-$T468)</f>
        <v/>
      </c>
      <c r="Z468" s="11">
        <f>IF(OR($S468="未発送",$S468="発送済",$S468="査定済",$S468="入金済"),1,0)</f>
        <v/>
      </c>
      <c r="AA468" s="11">
        <f>IF($U468="",0,1)</f>
        <v/>
      </c>
    </row>
    <row r="469">
      <c r="A469" s="8" t="n"/>
      <c r="B469" s="9" t="n"/>
      <c r="C469" s="10" t="n"/>
      <c r="D469" s="9" t="n"/>
      <c r="E469" s="9" t="n"/>
      <c r="F469" s="9" t="n"/>
      <c r="G469" s="4" t="n"/>
      <c r="H469" s="5" t="n"/>
      <c r="I469" s="4" t="n"/>
      <c r="J469" s="4" t="n"/>
      <c r="K469" s="4" t="n"/>
      <c r="L469" s="11">
        <f>IF($G469="","",IF($F469="",1,MAX(1,COUNTIF($F$6:$F$505,$F469)-COUNTIFS($F$6:$F$505,$F469,$S$6:$S$505,"見送り"))))</f>
        <v/>
      </c>
      <c r="M469" s="12">
        <f>IF($G469="","",IF($K469="",'設定'!$C$6,$K469)/$L469)</f>
        <v/>
      </c>
      <c r="N469" s="12">
        <f>IF(OR($G469="",$I469=""),"",$I469-$G469-$M469-$J469)</f>
        <v/>
      </c>
      <c r="O469" s="13">
        <f>IF($N469="","",IF($G469&gt;0,$N469/$G469,0))</f>
        <v/>
      </c>
      <c r="P469" s="12">
        <f>IF($G469="","",$G469*$H469)</f>
        <v/>
      </c>
      <c r="Q469" s="12">
        <f>IF($N469="","",$N469-$I469*'設定'!$C$7)</f>
        <v/>
      </c>
      <c r="R469" s="14">
        <f>IF($N469="","",IF(AND($N469&gt;='設定'!$C$4,$O469&gt;='設定'!$C$5),IF($Q469&gt;=0,"仕入れOK","OK・下落に弱い"),"見送り"))</f>
        <v/>
      </c>
      <c r="S469" s="9" t="n"/>
      <c r="T469" s="8" t="n"/>
      <c r="U469" s="4" t="n"/>
      <c r="V469" s="8" t="n"/>
      <c r="W469" s="12">
        <f>IF(OR($G469="",$U469=""),"",$U469-$G469-$M469-$J469)</f>
        <v/>
      </c>
      <c r="X469" s="12">
        <f>IF(OR($I469="",$U469=""),"",$I469-$U469)</f>
        <v/>
      </c>
      <c r="Y469" s="11">
        <f>IF(OR($T469="",$V469=""),"",$V469-$T469)</f>
        <v/>
      </c>
      <c r="Z469" s="11">
        <f>IF(OR($S469="未発送",$S469="発送済",$S469="査定済",$S469="入金済"),1,0)</f>
        <v/>
      </c>
      <c r="AA469" s="11">
        <f>IF($U469="",0,1)</f>
        <v/>
      </c>
    </row>
    <row r="470">
      <c r="A470" s="8" t="n"/>
      <c r="B470" s="9" t="n"/>
      <c r="C470" s="10" t="n"/>
      <c r="D470" s="9" t="n"/>
      <c r="E470" s="9" t="n"/>
      <c r="F470" s="9" t="n"/>
      <c r="G470" s="4" t="n"/>
      <c r="H470" s="5" t="n"/>
      <c r="I470" s="4" t="n"/>
      <c r="J470" s="4" t="n"/>
      <c r="K470" s="4" t="n"/>
      <c r="L470" s="11">
        <f>IF($G470="","",IF($F470="",1,MAX(1,COUNTIF($F$6:$F$505,$F470)-COUNTIFS($F$6:$F$505,$F470,$S$6:$S$505,"見送り"))))</f>
        <v/>
      </c>
      <c r="M470" s="12">
        <f>IF($G470="","",IF($K470="",'設定'!$C$6,$K470)/$L470)</f>
        <v/>
      </c>
      <c r="N470" s="12">
        <f>IF(OR($G470="",$I470=""),"",$I470-$G470-$M470-$J470)</f>
        <v/>
      </c>
      <c r="O470" s="13">
        <f>IF($N470="","",IF($G470&gt;0,$N470/$G470,0))</f>
        <v/>
      </c>
      <c r="P470" s="12">
        <f>IF($G470="","",$G470*$H470)</f>
        <v/>
      </c>
      <c r="Q470" s="12">
        <f>IF($N470="","",$N470-$I470*'設定'!$C$7)</f>
        <v/>
      </c>
      <c r="R470" s="14">
        <f>IF($N470="","",IF(AND($N470&gt;='設定'!$C$4,$O470&gt;='設定'!$C$5),IF($Q470&gt;=0,"仕入れOK","OK・下落に弱い"),"見送り"))</f>
        <v/>
      </c>
      <c r="S470" s="9" t="n"/>
      <c r="T470" s="8" t="n"/>
      <c r="U470" s="4" t="n"/>
      <c r="V470" s="8" t="n"/>
      <c r="W470" s="12">
        <f>IF(OR($G470="",$U470=""),"",$U470-$G470-$M470-$J470)</f>
        <v/>
      </c>
      <c r="X470" s="12">
        <f>IF(OR($I470="",$U470=""),"",$I470-$U470)</f>
        <v/>
      </c>
      <c r="Y470" s="11">
        <f>IF(OR($T470="",$V470=""),"",$V470-$T470)</f>
        <v/>
      </c>
      <c r="Z470" s="11">
        <f>IF(OR($S470="未発送",$S470="発送済",$S470="査定済",$S470="入金済"),1,0)</f>
        <v/>
      </c>
      <c r="AA470" s="11">
        <f>IF($U470="",0,1)</f>
        <v/>
      </c>
    </row>
    <row r="471">
      <c r="A471" s="8" t="n"/>
      <c r="B471" s="9" t="n"/>
      <c r="C471" s="10" t="n"/>
      <c r="D471" s="9" t="n"/>
      <c r="E471" s="9" t="n"/>
      <c r="F471" s="9" t="n"/>
      <c r="G471" s="4" t="n"/>
      <c r="H471" s="5" t="n"/>
      <c r="I471" s="4" t="n"/>
      <c r="J471" s="4" t="n"/>
      <c r="K471" s="4" t="n"/>
      <c r="L471" s="11">
        <f>IF($G471="","",IF($F471="",1,MAX(1,COUNTIF($F$6:$F$505,$F471)-COUNTIFS($F$6:$F$505,$F471,$S$6:$S$505,"見送り"))))</f>
        <v/>
      </c>
      <c r="M471" s="12">
        <f>IF($G471="","",IF($K471="",'設定'!$C$6,$K471)/$L471)</f>
        <v/>
      </c>
      <c r="N471" s="12">
        <f>IF(OR($G471="",$I471=""),"",$I471-$G471-$M471-$J471)</f>
        <v/>
      </c>
      <c r="O471" s="13">
        <f>IF($N471="","",IF($G471&gt;0,$N471/$G471,0))</f>
        <v/>
      </c>
      <c r="P471" s="12">
        <f>IF($G471="","",$G471*$H471)</f>
        <v/>
      </c>
      <c r="Q471" s="12">
        <f>IF($N471="","",$N471-$I471*'設定'!$C$7)</f>
        <v/>
      </c>
      <c r="R471" s="14">
        <f>IF($N471="","",IF(AND($N471&gt;='設定'!$C$4,$O471&gt;='設定'!$C$5),IF($Q471&gt;=0,"仕入れOK","OK・下落に弱い"),"見送り"))</f>
        <v/>
      </c>
      <c r="S471" s="9" t="n"/>
      <c r="T471" s="8" t="n"/>
      <c r="U471" s="4" t="n"/>
      <c r="V471" s="8" t="n"/>
      <c r="W471" s="12">
        <f>IF(OR($G471="",$U471=""),"",$U471-$G471-$M471-$J471)</f>
        <v/>
      </c>
      <c r="X471" s="12">
        <f>IF(OR($I471="",$U471=""),"",$I471-$U471)</f>
        <v/>
      </c>
      <c r="Y471" s="11">
        <f>IF(OR($T471="",$V471=""),"",$V471-$T471)</f>
        <v/>
      </c>
      <c r="Z471" s="11">
        <f>IF(OR($S471="未発送",$S471="発送済",$S471="査定済",$S471="入金済"),1,0)</f>
        <v/>
      </c>
      <c r="AA471" s="11">
        <f>IF($U471="",0,1)</f>
        <v/>
      </c>
    </row>
    <row r="472">
      <c r="A472" s="8" t="n"/>
      <c r="B472" s="9" t="n"/>
      <c r="C472" s="10" t="n"/>
      <c r="D472" s="9" t="n"/>
      <c r="E472" s="9" t="n"/>
      <c r="F472" s="9" t="n"/>
      <c r="G472" s="4" t="n"/>
      <c r="H472" s="5" t="n"/>
      <c r="I472" s="4" t="n"/>
      <c r="J472" s="4" t="n"/>
      <c r="K472" s="4" t="n"/>
      <c r="L472" s="11">
        <f>IF($G472="","",IF($F472="",1,MAX(1,COUNTIF($F$6:$F$505,$F472)-COUNTIFS($F$6:$F$505,$F472,$S$6:$S$505,"見送り"))))</f>
        <v/>
      </c>
      <c r="M472" s="12">
        <f>IF($G472="","",IF($K472="",'設定'!$C$6,$K472)/$L472)</f>
        <v/>
      </c>
      <c r="N472" s="12">
        <f>IF(OR($G472="",$I472=""),"",$I472-$G472-$M472-$J472)</f>
        <v/>
      </c>
      <c r="O472" s="13">
        <f>IF($N472="","",IF($G472&gt;0,$N472/$G472,0))</f>
        <v/>
      </c>
      <c r="P472" s="12">
        <f>IF($G472="","",$G472*$H472)</f>
        <v/>
      </c>
      <c r="Q472" s="12">
        <f>IF($N472="","",$N472-$I472*'設定'!$C$7)</f>
        <v/>
      </c>
      <c r="R472" s="14">
        <f>IF($N472="","",IF(AND($N472&gt;='設定'!$C$4,$O472&gt;='設定'!$C$5),IF($Q472&gt;=0,"仕入れOK","OK・下落に弱い"),"見送り"))</f>
        <v/>
      </c>
      <c r="S472" s="9" t="n"/>
      <c r="T472" s="8" t="n"/>
      <c r="U472" s="4" t="n"/>
      <c r="V472" s="8" t="n"/>
      <c r="W472" s="12">
        <f>IF(OR($G472="",$U472=""),"",$U472-$G472-$M472-$J472)</f>
        <v/>
      </c>
      <c r="X472" s="12">
        <f>IF(OR($I472="",$U472=""),"",$I472-$U472)</f>
        <v/>
      </c>
      <c r="Y472" s="11">
        <f>IF(OR($T472="",$V472=""),"",$V472-$T472)</f>
        <v/>
      </c>
      <c r="Z472" s="11">
        <f>IF(OR($S472="未発送",$S472="発送済",$S472="査定済",$S472="入金済"),1,0)</f>
        <v/>
      </c>
      <c r="AA472" s="11">
        <f>IF($U472="",0,1)</f>
        <v/>
      </c>
    </row>
    <row r="473">
      <c r="A473" s="8" t="n"/>
      <c r="B473" s="9" t="n"/>
      <c r="C473" s="10" t="n"/>
      <c r="D473" s="9" t="n"/>
      <c r="E473" s="9" t="n"/>
      <c r="F473" s="9" t="n"/>
      <c r="G473" s="4" t="n"/>
      <c r="H473" s="5" t="n"/>
      <c r="I473" s="4" t="n"/>
      <c r="J473" s="4" t="n"/>
      <c r="K473" s="4" t="n"/>
      <c r="L473" s="11">
        <f>IF($G473="","",IF($F473="",1,MAX(1,COUNTIF($F$6:$F$505,$F473)-COUNTIFS($F$6:$F$505,$F473,$S$6:$S$505,"見送り"))))</f>
        <v/>
      </c>
      <c r="M473" s="12">
        <f>IF($G473="","",IF($K473="",'設定'!$C$6,$K473)/$L473)</f>
        <v/>
      </c>
      <c r="N473" s="12">
        <f>IF(OR($G473="",$I473=""),"",$I473-$G473-$M473-$J473)</f>
        <v/>
      </c>
      <c r="O473" s="13">
        <f>IF($N473="","",IF($G473&gt;0,$N473/$G473,0))</f>
        <v/>
      </c>
      <c r="P473" s="12">
        <f>IF($G473="","",$G473*$H473)</f>
        <v/>
      </c>
      <c r="Q473" s="12">
        <f>IF($N473="","",$N473-$I473*'設定'!$C$7)</f>
        <v/>
      </c>
      <c r="R473" s="14">
        <f>IF($N473="","",IF(AND($N473&gt;='設定'!$C$4,$O473&gt;='設定'!$C$5),IF($Q473&gt;=0,"仕入れOK","OK・下落に弱い"),"見送り"))</f>
        <v/>
      </c>
      <c r="S473" s="9" t="n"/>
      <c r="T473" s="8" t="n"/>
      <c r="U473" s="4" t="n"/>
      <c r="V473" s="8" t="n"/>
      <c r="W473" s="12">
        <f>IF(OR($G473="",$U473=""),"",$U473-$G473-$M473-$J473)</f>
        <v/>
      </c>
      <c r="X473" s="12">
        <f>IF(OR($I473="",$U473=""),"",$I473-$U473)</f>
        <v/>
      </c>
      <c r="Y473" s="11">
        <f>IF(OR($T473="",$V473=""),"",$V473-$T473)</f>
        <v/>
      </c>
      <c r="Z473" s="11">
        <f>IF(OR($S473="未発送",$S473="発送済",$S473="査定済",$S473="入金済"),1,0)</f>
        <v/>
      </c>
      <c r="AA473" s="11">
        <f>IF($U473="",0,1)</f>
        <v/>
      </c>
    </row>
    <row r="474">
      <c r="A474" s="8" t="n"/>
      <c r="B474" s="9" t="n"/>
      <c r="C474" s="10" t="n"/>
      <c r="D474" s="9" t="n"/>
      <c r="E474" s="9" t="n"/>
      <c r="F474" s="9" t="n"/>
      <c r="G474" s="4" t="n"/>
      <c r="H474" s="5" t="n"/>
      <c r="I474" s="4" t="n"/>
      <c r="J474" s="4" t="n"/>
      <c r="K474" s="4" t="n"/>
      <c r="L474" s="11">
        <f>IF($G474="","",IF($F474="",1,MAX(1,COUNTIF($F$6:$F$505,$F474)-COUNTIFS($F$6:$F$505,$F474,$S$6:$S$505,"見送り"))))</f>
        <v/>
      </c>
      <c r="M474" s="12">
        <f>IF($G474="","",IF($K474="",'設定'!$C$6,$K474)/$L474)</f>
        <v/>
      </c>
      <c r="N474" s="12">
        <f>IF(OR($G474="",$I474=""),"",$I474-$G474-$M474-$J474)</f>
        <v/>
      </c>
      <c r="O474" s="13">
        <f>IF($N474="","",IF($G474&gt;0,$N474/$G474,0))</f>
        <v/>
      </c>
      <c r="P474" s="12">
        <f>IF($G474="","",$G474*$H474)</f>
        <v/>
      </c>
      <c r="Q474" s="12">
        <f>IF($N474="","",$N474-$I474*'設定'!$C$7)</f>
        <v/>
      </c>
      <c r="R474" s="14">
        <f>IF($N474="","",IF(AND($N474&gt;='設定'!$C$4,$O474&gt;='設定'!$C$5),IF($Q474&gt;=0,"仕入れOK","OK・下落に弱い"),"見送り"))</f>
        <v/>
      </c>
      <c r="S474" s="9" t="n"/>
      <c r="T474" s="8" t="n"/>
      <c r="U474" s="4" t="n"/>
      <c r="V474" s="8" t="n"/>
      <c r="W474" s="12">
        <f>IF(OR($G474="",$U474=""),"",$U474-$G474-$M474-$J474)</f>
        <v/>
      </c>
      <c r="X474" s="12">
        <f>IF(OR($I474="",$U474=""),"",$I474-$U474)</f>
        <v/>
      </c>
      <c r="Y474" s="11">
        <f>IF(OR($T474="",$V474=""),"",$V474-$T474)</f>
        <v/>
      </c>
      <c r="Z474" s="11">
        <f>IF(OR($S474="未発送",$S474="発送済",$S474="査定済",$S474="入金済"),1,0)</f>
        <v/>
      </c>
      <c r="AA474" s="11">
        <f>IF($U474="",0,1)</f>
        <v/>
      </c>
    </row>
    <row r="475">
      <c r="A475" s="8" t="n"/>
      <c r="B475" s="9" t="n"/>
      <c r="C475" s="10" t="n"/>
      <c r="D475" s="9" t="n"/>
      <c r="E475" s="9" t="n"/>
      <c r="F475" s="9" t="n"/>
      <c r="G475" s="4" t="n"/>
      <c r="H475" s="5" t="n"/>
      <c r="I475" s="4" t="n"/>
      <c r="J475" s="4" t="n"/>
      <c r="K475" s="4" t="n"/>
      <c r="L475" s="11">
        <f>IF($G475="","",IF($F475="",1,MAX(1,COUNTIF($F$6:$F$505,$F475)-COUNTIFS($F$6:$F$505,$F475,$S$6:$S$505,"見送り"))))</f>
        <v/>
      </c>
      <c r="M475" s="12">
        <f>IF($G475="","",IF($K475="",'設定'!$C$6,$K475)/$L475)</f>
        <v/>
      </c>
      <c r="N475" s="12">
        <f>IF(OR($G475="",$I475=""),"",$I475-$G475-$M475-$J475)</f>
        <v/>
      </c>
      <c r="O475" s="13">
        <f>IF($N475="","",IF($G475&gt;0,$N475/$G475,0))</f>
        <v/>
      </c>
      <c r="P475" s="12">
        <f>IF($G475="","",$G475*$H475)</f>
        <v/>
      </c>
      <c r="Q475" s="12">
        <f>IF($N475="","",$N475-$I475*'設定'!$C$7)</f>
        <v/>
      </c>
      <c r="R475" s="14">
        <f>IF($N475="","",IF(AND($N475&gt;='設定'!$C$4,$O475&gt;='設定'!$C$5),IF($Q475&gt;=0,"仕入れOK","OK・下落に弱い"),"見送り"))</f>
        <v/>
      </c>
      <c r="S475" s="9" t="n"/>
      <c r="T475" s="8" t="n"/>
      <c r="U475" s="4" t="n"/>
      <c r="V475" s="8" t="n"/>
      <c r="W475" s="12">
        <f>IF(OR($G475="",$U475=""),"",$U475-$G475-$M475-$J475)</f>
        <v/>
      </c>
      <c r="X475" s="12">
        <f>IF(OR($I475="",$U475=""),"",$I475-$U475)</f>
        <v/>
      </c>
      <c r="Y475" s="11">
        <f>IF(OR($T475="",$V475=""),"",$V475-$T475)</f>
        <v/>
      </c>
      <c r="Z475" s="11">
        <f>IF(OR($S475="未発送",$S475="発送済",$S475="査定済",$S475="入金済"),1,0)</f>
        <v/>
      </c>
      <c r="AA475" s="11">
        <f>IF($U475="",0,1)</f>
        <v/>
      </c>
    </row>
    <row r="476">
      <c r="A476" s="8" t="n"/>
      <c r="B476" s="9" t="n"/>
      <c r="C476" s="10" t="n"/>
      <c r="D476" s="9" t="n"/>
      <c r="E476" s="9" t="n"/>
      <c r="F476" s="9" t="n"/>
      <c r="G476" s="4" t="n"/>
      <c r="H476" s="5" t="n"/>
      <c r="I476" s="4" t="n"/>
      <c r="J476" s="4" t="n"/>
      <c r="K476" s="4" t="n"/>
      <c r="L476" s="11">
        <f>IF($G476="","",IF($F476="",1,MAX(1,COUNTIF($F$6:$F$505,$F476)-COUNTIFS($F$6:$F$505,$F476,$S$6:$S$505,"見送り"))))</f>
        <v/>
      </c>
      <c r="M476" s="12">
        <f>IF($G476="","",IF($K476="",'設定'!$C$6,$K476)/$L476)</f>
        <v/>
      </c>
      <c r="N476" s="12">
        <f>IF(OR($G476="",$I476=""),"",$I476-$G476-$M476-$J476)</f>
        <v/>
      </c>
      <c r="O476" s="13">
        <f>IF($N476="","",IF($G476&gt;0,$N476/$G476,0))</f>
        <v/>
      </c>
      <c r="P476" s="12">
        <f>IF($G476="","",$G476*$H476)</f>
        <v/>
      </c>
      <c r="Q476" s="12">
        <f>IF($N476="","",$N476-$I476*'設定'!$C$7)</f>
        <v/>
      </c>
      <c r="R476" s="14">
        <f>IF($N476="","",IF(AND($N476&gt;='設定'!$C$4,$O476&gt;='設定'!$C$5),IF($Q476&gt;=0,"仕入れOK","OK・下落に弱い"),"見送り"))</f>
        <v/>
      </c>
      <c r="S476" s="9" t="n"/>
      <c r="T476" s="8" t="n"/>
      <c r="U476" s="4" t="n"/>
      <c r="V476" s="8" t="n"/>
      <c r="W476" s="12">
        <f>IF(OR($G476="",$U476=""),"",$U476-$G476-$M476-$J476)</f>
        <v/>
      </c>
      <c r="X476" s="12">
        <f>IF(OR($I476="",$U476=""),"",$I476-$U476)</f>
        <v/>
      </c>
      <c r="Y476" s="11">
        <f>IF(OR($T476="",$V476=""),"",$V476-$T476)</f>
        <v/>
      </c>
      <c r="Z476" s="11">
        <f>IF(OR($S476="未発送",$S476="発送済",$S476="査定済",$S476="入金済"),1,0)</f>
        <v/>
      </c>
      <c r="AA476" s="11">
        <f>IF($U476="",0,1)</f>
        <v/>
      </c>
    </row>
    <row r="477">
      <c r="A477" s="8" t="n"/>
      <c r="B477" s="9" t="n"/>
      <c r="C477" s="10" t="n"/>
      <c r="D477" s="9" t="n"/>
      <c r="E477" s="9" t="n"/>
      <c r="F477" s="9" t="n"/>
      <c r="G477" s="4" t="n"/>
      <c r="H477" s="5" t="n"/>
      <c r="I477" s="4" t="n"/>
      <c r="J477" s="4" t="n"/>
      <c r="K477" s="4" t="n"/>
      <c r="L477" s="11">
        <f>IF($G477="","",IF($F477="",1,MAX(1,COUNTIF($F$6:$F$505,$F477)-COUNTIFS($F$6:$F$505,$F477,$S$6:$S$505,"見送り"))))</f>
        <v/>
      </c>
      <c r="M477" s="12">
        <f>IF($G477="","",IF($K477="",'設定'!$C$6,$K477)/$L477)</f>
        <v/>
      </c>
      <c r="N477" s="12">
        <f>IF(OR($G477="",$I477=""),"",$I477-$G477-$M477-$J477)</f>
        <v/>
      </c>
      <c r="O477" s="13">
        <f>IF($N477="","",IF($G477&gt;0,$N477/$G477,0))</f>
        <v/>
      </c>
      <c r="P477" s="12">
        <f>IF($G477="","",$G477*$H477)</f>
        <v/>
      </c>
      <c r="Q477" s="12">
        <f>IF($N477="","",$N477-$I477*'設定'!$C$7)</f>
        <v/>
      </c>
      <c r="R477" s="14">
        <f>IF($N477="","",IF(AND($N477&gt;='設定'!$C$4,$O477&gt;='設定'!$C$5),IF($Q477&gt;=0,"仕入れOK","OK・下落に弱い"),"見送り"))</f>
        <v/>
      </c>
      <c r="S477" s="9" t="n"/>
      <c r="T477" s="8" t="n"/>
      <c r="U477" s="4" t="n"/>
      <c r="V477" s="8" t="n"/>
      <c r="W477" s="12">
        <f>IF(OR($G477="",$U477=""),"",$U477-$G477-$M477-$J477)</f>
        <v/>
      </c>
      <c r="X477" s="12">
        <f>IF(OR($I477="",$U477=""),"",$I477-$U477)</f>
        <v/>
      </c>
      <c r="Y477" s="11">
        <f>IF(OR($T477="",$V477=""),"",$V477-$T477)</f>
        <v/>
      </c>
      <c r="Z477" s="11">
        <f>IF(OR($S477="未発送",$S477="発送済",$S477="査定済",$S477="入金済"),1,0)</f>
        <v/>
      </c>
      <c r="AA477" s="11">
        <f>IF($U477="",0,1)</f>
        <v/>
      </c>
    </row>
    <row r="478">
      <c r="A478" s="8" t="n"/>
      <c r="B478" s="9" t="n"/>
      <c r="C478" s="10" t="n"/>
      <c r="D478" s="9" t="n"/>
      <c r="E478" s="9" t="n"/>
      <c r="F478" s="9" t="n"/>
      <c r="G478" s="4" t="n"/>
      <c r="H478" s="5" t="n"/>
      <c r="I478" s="4" t="n"/>
      <c r="J478" s="4" t="n"/>
      <c r="K478" s="4" t="n"/>
      <c r="L478" s="11">
        <f>IF($G478="","",IF($F478="",1,MAX(1,COUNTIF($F$6:$F$505,$F478)-COUNTIFS($F$6:$F$505,$F478,$S$6:$S$505,"見送り"))))</f>
        <v/>
      </c>
      <c r="M478" s="12">
        <f>IF($G478="","",IF($K478="",'設定'!$C$6,$K478)/$L478)</f>
        <v/>
      </c>
      <c r="N478" s="12">
        <f>IF(OR($G478="",$I478=""),"",$I478-$G478-$M478-$J478)</f>
        <v/>
      </c>
      <c r="O478" s="13">
        <f>IF($N478="","",IF($G478&gt;0,$N478/$G478,0))</f>
        <v/>
      </c>
      <c r="P478" s="12">
        <f>IF($G478="","",$G478*$H478)</f>
        <v/>
      </c>
      <c r="Q478" s="12">
        <f>IF($N478="","",$N478-$I478*'設定'!$C$7)</f>
        <v/>
      </c>
      <c r="R478" s="14">
        <f>IF($N478="","",IF(AND($N478&gt;='設定'!$C$4,$O478&gt;='設定'!$C$5),IF($Q478&gt;=0,"仕入れOK","OK・下落に弱い"),"見送り"))</f>
        <v/>
      </c>
      <c r="S478" s="9" t="n"/>
      <c r="T478" s="8" t="n"/>
      <c r="U478" s="4" t="n"/>
      <c r="V478" s="8" t="n"/>
      <c r="W478" s="12">
        <f>IF(OR($G478="",$U478=""),"",$U478-$G478-$M478-$J478)</f>
        <v/>
      </c>
      <c r="X478" s="12">
        <f>IF(OR($I478="",$U478=""),"",$I478-$U478)</f>
        <v/>
      </c>
      <c r="Y478" s="11">
        <f>IF(OR($T478="",$V478=""),"",$V478-$T478)</f>
        <v/>
      </c>
      <c r="Z478" s="11">
        <f>IF(OR($S478="未発送",$S478="発送済",$S478="査定済",$S478="入金済"),1,0)</f>
        <v/>
      </c>
      <c r="AA478" s="11">
        <f>IF($U478="",0,1)</f>
        <v/>
      </c>
    </row>
    <row r="479">
      <c r="A479" s="8" t="n"/>
      <c r="B479" s="9" t="n"/>
      <c r="C479" s="10" t="n"/>
      <c r="D479" s="9" t="n"/>
      <c r="E479" s="9" t="n"/>
      <c r="F479" s="9" t="n"/>
      <c r="G479" s="4" t="n"/>
      <c r="H479" s="5" t="n"/>
      <c r="I479" s="4" t="n"/>
      <c r="J479" s="4" t="n"/>
      <c r="K479" s="4" t="n"/>
      <c r="L479" s="11">
        <f>IF($G479="","",IF($F479="",1,MAX(1,COUNTIF($F$6:$F$505,$F479)-COUNTIFS($F$6:$F$505,$F479,$S$6:$S$505,"見送り"))))</f>
        <v/>
      </c>
      <c r="M479" s="12">
        <f>IF($G479="","",IF($K479="",'設定'!$C$6,$K479)/$L479)</f>
        <v/>
      </c>
      <c r="N479" s="12">
        <f>IF(OR($G479="",$I479=""),"",$I479-$G479-$M479-$J479)</f>
        <v/>
      </c>
      <c r="O479" s="13">
        <f>IF($N479="","",IF($G479&gt;0,$N479/$G479,0))</f>
        <v/>
      </c>
      <c r="P479" s="12">
        <f>IF($G479="","",$G479*$H479)</f>
        <v/>
      </c>
      <c r="Q479" s="12">
        <f>IF($N479="","",$N479-$I479*'設定'!$C$7)</f>
        <v/>
      </c>
      <c r="R479" s="14">
        <f>IF($N479="","",IF(AND($N479&gt;='設定'!$C$4,$O479&gt;='設定'!$C$5),IF($Q479&gt;=0,"仕入れOK","OK・下落に弱い"),"見送り"))</f>
        <v/>
      </c>
      <c r="S479" s="9" t="n"/>
      <c r="T479" s="8" t="n"/>
      <c r="U479" s="4" t="n"/>
      <c r="V479" s="8" t="n"/>
      <c r="W479" s="12">
        <f>IF(OR($G479="",$U479=""),"",$U479-$G479-$M479-$J479)</f>
        <v/>
      </c>
      <c r="X479" s="12">
        <f>IF(OR($I479="",$U479=""),"",$I479-$U479)</f>
        <v/>
      </c>
      <c r="Y479" s="11">
        <f>IF(OR($T479="",$V479=""),"",$V479-$T479)</f>
        <v/>
      </c>
      <c r="Z479" s="11">
        <f>IF(OR($S479="未発送",$S479="発送済",$S479="査定済",$S479="入金済"),1,0)</f>
        <v/>
      </c>
      <c r="AA479" s="11">
        <f>IF($U479="",0,1)</f>
        <v/>
      </c>
    </row>
    <row r="480">
      <c r="A480" s="8" t="n"/>
      <c r="B480" s="9" t="n"/>
      <c r="C480" s="10" t="n"/>
      <c r="D480" s="9" t="n"/>
      <c r="E480" s="9" t="n"/>
      <c r="F480" s="9" t="n"/>
      <c r="G480" s="4" t="n"/>
      <c r="H480" s="5" t="n"/>
      <c r="I480" s="4" t="n"/>
      <c r="J480" s="4" t="n"/>
      <c r="K480" s="4" t="n"/>
      <c r="L480" s="11">
        <f>IF($G480="","",IF($F480="",1,MAX(1,COUNTIF($F$6:$F$505,$F480)-COUNTIFS($F$6:$F$505,$F480,$S$6:$S$505,"見送り"))))</f>
        <v/>
      </c>
      <c r="M480" s="12">
        <f>IF($G480="","",IF($K480="",'設定'!$C$6,$K480)/$L480)</f>
        <v/>
      </c>
      <c r="N480" s="12">
        <f>IF(OR($G480="",$I480=""),"",$I480-$G480-$M480-$J480)</f>
        <v/>
      </c>
      <c r="O480" s="13">
        <f>IF($N480="","",IF($G480&gt;0,$N480/$G480,0))</f>
        <v/>
      </c>
      <c r="P480" s="12">
        <f>IF($G480="","",$G480*$H480)</f>
        <v/>
      </c>
      <c r="Q480" s="12">
        <f>IF($N480="","",$N480-$I480*'設定'!$C$7)</f>
        <v/>
      </c>
      <c r="R480" s="14">
        <f>IF($N480="","",IF(AND($N480&gt;='設定'!$C$4,$O480&gt;='設定'!$C$5),IF($Q480&gt;=0,"仕入れOK","OK・下落に弱い"),"見送り"))</f>
        <v/>
      </c>
      <c r="S480" s="9" t="n"/>
      <c r="T480" s="8" t="n"/>
      <c r="U480" s="4" t="n"/>
      <c r="V480" s="8" t="n"/>
      <c r="W480" s="12">
        <f>IF(OR($G480="",$U480=""),"",$U480-$G480-$M480-$J480)</f>
        <v/>
      </c>
      <c r="X480" s="12">
        <f>IF(OR($I480="",$U480=""),"",$I480-$U480)</f>
        <v/>
      </c>
      <c r="Y480" s="11">
        <f>IF(OR($T480="",$V480=""),"",$V480-$T480)</f>
        <v/>
      </c>
      <c r="Z480" s="11">
        <f>IF(OR($S480="未発送",$S480="発送済",$S480="査定済",$S480="入金済"),1,0)</f>
        <v/>
      </c>
      <c r="AA480" s="11">
        <f>IF($U480="",0,1)</f>
        <v/>
      </c>
    </row>
    <row r="481">
      <c r="A481" s="8" t="n"/>
      <c r="B481" s="9" t="n"/>
      <c r="C481" s="10" t="n"/>
      <c r="D481" s="9" t="n"/>
      <c r="E481" s="9" t="n"/>
      <c r="F481" s="9" t="n"/>
      <c r="G481" s="4" t="n"/>
      <c r="H481" s="5" t="n"/>
      <c r="I481" s="4" t="n"/>
      <c r="J481" s="4" t="n"/>
      <c r="K481" s="4" t="n"/>
      <c r="L481" s="11">
        <f>IF($G481="","",IF($F481="",1,MAX(1,COUNTIF($F$6:$F$505,$F481)-COUNTIFS($F$6:$F$505,$F481,$S$6:$S$505,"見送り"))))</f>
        <v/>
      </c>
      <c r="M481" s="12">
        <f>IF($G481="","",IF($K481="",'設定'!$C$6,$K481)/$L481)</f>
        <v/>
      </c>
      <c r="N481" s="12">
        <f>IF(OR($G481="",$I481=""),"",$I481-$G481-$M481-$J481)</f>
        <v/>
      </c>
      <c r="O481" s="13">
        <f>IF($N481="","",IF($G481&gt;0,$N481/$G481,0))</f>
        <v/>
      </c>
      <c r="P481" s="12">
        <f>IF($G481="","",$G481*$H481)</f>
        <v/>
      </c>
      <c r="Q481" s="12">
        <f>IF($N481="","",$N481-$I481*'設定'!$C$7)</f>
        <v/>
      </c>
      <c r="R481" s="14">
        <f>IF($N481="","",IF(AND($N481&gt;='設定'!$C$4,$O481&gt;='設定'!$C$5),IF($Q481&gt;=0,"仕入れOK","OK・下落に弱い"),"見送り"))</f>
        <v/>
      </c>
      <c r="S481" s="9" t="n"/>
      <c r="T481" s="8" t="n"/>
      <c r="U481" s="4" t="n"/>
      <c r="V481" s="8" t="n"/>
      <c r="W481" s="12">
        <f>IF(OR($G481="",$U481=""),"",$U481-$G481-$M481-$J481)</f>
        <v/>
      </c>
      <c r="X481" s="12">
        <f>IF(OR($I481="",$U481=""),"",$I481-$U481)</f>
        <v/>
      </c>
      <c r="Y481" s="11">
        <f>IF(OR($T481="",$V481=""),"",$V481-$T481)</f>
        <v/>
      </c>
      <c r="Z481" s="11">
        <f>IF(OR($S481="未発送",$S481="発送済",$S481="査定済",$S481="入金済"),1,0)</f>
        <v/>
      </c>
      <c r="AA481" s="11">
        <f>IF($U481="",0,1)</f>
        <v/>
      </c>
    </row>
    <row r="482">
      <c r="A482" s="8" t="n"/>
      <c r="B482" s="9" t="n"/>
      <c r="C482" s="10" t="n"/>
      <c r="D482" s="9" t="n"/>
      <c r="E482" s="9" t="n"/>
      <c r="F482" s="9" t="n"/>
      <c r="G482" s="4" t="n"/>
      <c r="H482" s="5" t="n"/>
      <c r="I482" s="4" t="n"/>
      <c r="J482" s="4" t="n"/>
      <c r="K482" s="4" t="n"/>
      <c r="L482" s="11">
        <f>IF($G482="","",IF($F482="",1,MAX(1,COUNTIF($F$6:$F$505,$F482)-COUNTIFS($F$6:$F$505,$F482,$S$6:$S$505,"見送り"))))</f>
        <v/>
      </c>
      <c r="M482" s="12">
        <f>IF($G482="","",IF($K482="",'設定'!$C$6,$K482)/$L482)</f>
        <v/>
      </c>
      <c r="N482" s="12">
        <f>IF(OR($G482="",$I482=""),"",$I482-$G482-$M482-$J482)</f>
        <v/>
      </c>
      <c r="O482" s="13">
        <f>IF($N482="","",IF($G482&gt;0,$N482/$G482,0))</f>
        <v/>
      </c>
      <c r="P482" s="12">
        <f>IF($G482="","",$G482*$H482)</f>
        <v/>
      </c>
      <c r="Q482" s="12">
        <f>IF($N482="","",$N482-$I482*'設定'!$C$7)</f>
        <v/>
      </c>
      <c r="R482" s="14">
        <f>IF($N482="","",IF(AND($N482&gt;='設定'!$C$4,$O482&gt;='設定'!$C$5),IF($Q482&gt;=0,"仕入れOK","OK・下落に弱い"),"見送り"))</f>
        <v/>
      </c>
      <c r="S482" s="9" t="n"/>
      <c r="T482" s="8" t="n"/>
      <c r="U482" s="4" t="n"/>
      <c r="V482" s="8" t="n"/>
      <c r="W482" s="12">
        <f>IF(OR($G482="",$U482=""),"",$U482-$G482-$M482-$J482)</f>
        <v/>
      </c>
      <c r="X482" s="12">
        <f>IF(OR($I482="",$U482=""),"",$I482-$U482)</f>
        <v/>
      </c>
      <c r="Y482" s="11">
        <f>IF(OR($T482="",$V482=""),"",$V482-$T482)</f>
        <v/>
      </c>
      <c r="Z482" s="11">
        <f>IF(OR($S482="未発送",$S482="発送済",$S482="査定済",$S482="入金済"),1,0)</f>
        <v/>
      </c>
      <c r="AA482" s="11">
        <f>IF($U482="",0,1)</f>
        <v/>
      </c>
    </row>
    <row r="483">
      <c r="A483" s="8" t="n"/>
      <c r="B483" s="9" t="n"/>
      <c r="C483" s="10" t="n"/>
      <c r="D483" s="9" t="n"/>
      <c r="E483" s="9" t="n"/>
      <c r="F483" s="9" t="n"/>
      <c r="G483" s="4" t="n"/>
      <c r="H483" s="5" t="n"/>
      <c r="I483" s="4" t="n"/>
      <c r="J483" s="4" t="n"/>
      <c r="K483" s="4" t="n"/>
      <c r="L483" s="11">
        <f>IF($G483="","",IF($F483="",1,MAX(1,COUNTIF($F$6:$F$505,$F483)-COUNTIFS($F$6:$F$505,$F483,$S$6:$S$505,"見送り"))))</f>
        <v/>
      </c>
      <c r="M483" s="12">
        <f>IF($G483="","",IF($K483="",'設定'!$C$6,$K483)/$L483)</f>
        <v/>
      </c>
      <c r="N483" s="12">
        <f>IF(OR($G483="",$I483=""),"",$I483-$G483-$M483-$J483)</f>
        <v/>
      </c>
      <c r="O483" s="13">
        <f>IF($N483="","",IF($G483&gt;0,$N483/$G483,0))</f>
        <v/>
      </c>
      <c r="P483" s="12">
        <f>IF($G483="","",$G483*$H483)</f>
        <v/>
      </c>
      <c r="Q483" s="12">
        <f>IF($N483="","",$N483-$I483*'設定'!$C$7)</f>
        <v/>
      </c>
      <c r="R483" s="14">
        <f>IF($N483="","",IF(AND($N483&gt;='設定'!$C$4,$O483&gt;='設定'!$C$5),IF($Q483&gt;=0,"仕入れOK","OK・下落に弱い"),"見送り"))</f>
        <v/>
      </c>
      <c r="S483" s="9" t="n"/>
      <c r="T483" s="8" t="n"/>
      <c r="U483" s="4" t="n"/>
      <c r="V483" s="8" t="n"/>
      <c r="W483" s="12">
        <f>IF(OR($G483="",$U483=""),"",$U483-$G483-$M483-$J483)</f>
        <v/>
      </c>
      <c r="X483" s="12">
        <f>IF(OR($I483="",$U483=""),"",$I483-$U483)</f>
        <v/>
      </c>
      <c r="Y483" s="11">
        <f>IF(OR($T483="",$V483=""),"",$V483-$T483)</f>
        <v/>
      </c>
      <c r="Z483" s="11">
        <f>IF(OR($S483="未発送",$S483="発送済",$S483="査定済",$S483="入金済"),1,0)</f>
        <v/>
      </c>
      <c r="AA483" s="11">
        <f>IF($U483="",0,1)</f>
        <v/>
      </c>
    </row>
    <row r="484">
      <c r="A484" s="8" t="n"/>
      <c r="B484" s="9" t="n"/>
      <c r="C484" s="10" t="n"/>
      <c r="D484" s="9" t="n"/>
      <c r="E484" s="9" t="n"/>
      <c r="F484" s="9" t="n"/>
      <c r="G484" s="4" t="n"/>
      <c r="H484" s="5" t="n"/>
      <c r="I484" s="4" t="n"/>
      <c r="J484" s="4" t="n"/>
      <c r="K484" s="4" t="n"/>
      <c r="L484" s="11">
        <f>IF($G484="","",IF($F484="",1,MAX(1,COUNTIF($F$6:$F$505,$F484)-COUNTIFS($F$6:$F$505,$F484,$S$6:$S$505,"見送り"))))</f>
        <v/>
      </c>
      <c r="M484" s="12">
        <f>IF($G484="","",IF($K484="",'設定'!$C$6,$K484)/$L484)</f>
        <v/>
      </c>
      <c r="N484" s="12">
        <f>IF(OR($G484="",$I484=""),"",$I484-$G484-$M484-$J484)</f>
        <v/>
      </c>
      <c r="O484" s="13">
        <f>IF($N484="","",IF($G484&gt;0,$N484/$G484,0))</f>
        <v/>
      </c>
      <c r="P484" s="12">
        <f>IF($G484="","",$G484*$H484)</f>
        <v/>
      </c>
      <c r="Q484" s="12">
        <f>IF($N484="","",$N484-$I484*'設定'!$C$7)</f>
        <v/>
      </c>
      <c r="R484" s="14">
        <f>IF($N484="","",IF(AND($N484&gt;='設定'!$C$4,$O484&gt;='設定'!$C$5),IF($Q484&gt;=0,"仕入れOK","OK・下落に弱い"),"見送り"))</f>
        <v/>
      </c>
      <c r="S484" s="9" t="n"/>
      <c r="T484" s="8" t="n"/>
      <c r="U484" s="4" t="n"/>
      <c r="V484" s="8" t="n"/>
      <c r="W484" s="12">
        <f>IF(OR($G484="",$U484=""),"",$U484-$G484-$M484-$J484)</f>
        <v/>
      </c>
      <c r="X484" s="12">
        <f>IF(OR($I484="",$U484=""),"",$I484-$U484)</f>
        <v/>
      </c>
      <c r="Y484" s="11">
        <f>IF(OR($T484="",$V484=""),"",$V484-$T484)</f>
        <v/>
      </c>
      <c r="Z484" s="11">
        <f>IF(OR($S484="未発送",$S484="発送済",$S484="査定済",$S484="入金済"),1,0)</f>
        <v/>
      </c>
      <c r="AA484" s="11">
        <f>IF($U484="",0,1)</f>
        <v/>
      </c>
    </row>
    <row r="485">
      <c r="A485" s="8" t="n"/>
      <c r="B485" s="9" t="n"/>
      <c r="C485" s="10" t="n"/>
      <c r="D485" s="9" t="n"/>
      <c r="E485" s="9" t="n"/>
      <c r="F485" s="9" t="n"/>
      <c r="G485" s="4" t="n"/>
      <c r="H485" s="5" t="n"/>
      <c r="I485" s="4" t="n"/>
      <c r="J485" s="4" t="n"/>
      <c r="K485" s="4" t="n"/>
      <c r="L485" s="11">
        <f>IF($G485="","",IF($F485="",1,MAX(1,COUNTIF($F$6:$F$505,$F485)-COUNTIFS($F$6:$F$505,$F485,$S$6:$S$505,"見送り"))))</f>
        <v/>
      </c>
      <c r="M485" s="12">
        <f>IF($G485="","",IF($K485="",'設定'!$C$6,$K485)/$L485)</f>
        <v/>
      </c>
      <c r="N485" s="12">
        <f>IF(OR($G485="",$I485=""),"",$I485-$G485-$M485-$J485)</f>
        <v/>
      </c>
      <c r="O485" s="13">
        <f>IF($N485="","",IF($G485&gt;0,$N485/$G485,0))</f>
        <v/>
      </c>
      <c r="P485" s="12">
        <f>IF($G485="","",$G485*$H485)</f>
        <v/>
      </c>
      <c r="Q485" s="12">
        <f>IF($N485="","",$N485-$I485*'設定'!$C$7)</f>
        <v/>
      </c>
      <c r="R485" s="14">
        <f>IF($N485="","",IF(AND($N485&gt;='設定'!$C$4,$O485&gt;='設定'!$C$5),IF($Q485&gt;=0,"仕入れOK","OK・下落に弱い"),"見送り"))</f>
        <v/>
      </c>
      <c r="S485" s="9" t="n"/>
      <c r="T485" s="8" t="n"/>
      <c r="U485" s="4" t="n"/>
      <c r="V485" s="8" t="n"/>
      <c r="W485" s="12">
        <f>IF(OR($G485="",$U485=""),"",$U485-$G485-$M485-$J485)</f>
        <v/>
      </c>
      <c r="X485" s="12">
        <f>IF(OR($I485="",$U485=""),"",$I485-$U485)</f>
        <v/>
      </c>
      <c r="Y485" s="11">
        <f>IF(OR($T485="",$V485=""),"",$V485-$T485)</f>
        <v/>
      </c>
      <c r="Z485" s="11">
        <f>IF(OR($S485="未発送",$S485="発送済",$S485="査定済",$S485="入金済"),1,0)</f>
        <v/>
      </c>
      <c r="AA485" s="11">
        <f>IF($U485="",0,1)</f>
        <v/>
      </c>
    </row>
    <row r="486">
      <c r="A486" s="8" t="n"/>
      <c r="B486" s="9" t="n"/>
      <c r="C486" s="10" t="n"/>
      <c r="D486" s="9" t="n"/>
      <c r="E486" s="9" t="n"/>
      <c r="F486" s="9" t="n"/>
      <c r="G486" s="4" t="n"/>
      <c r="H486" s="5" t="n"/>
      <c r="I486" s="4" t="n"/>
      <c r="J486" s="4" t="n"/>
      <c r="K486" s="4" t="n"/>
      <c r="L486" s="11">
        <f>IF($G486="","",IF($F486="",1,MAX(1,COUNTIF($F$6:$F$505,$F486)-COUNTIFS($F$6:$F$505,$F486,$S$6:$S$505,"見送り"))))</f>
        <v/>
      </c>
      <c r="M486" s="12">
        <f>IF($G486="","",IF($K486="",'設定'!$C$6,$K486)/$L486)</f>
        <v/>
      </c>
      <c r="N486" s="12">
        <f>IF(OR($G486="",$I486=""),"",$I486-$G486-$M486-$J486)</f>
        <v/>
      </c>
      <c r="O486" s="13">
        <f>IF($N486="","",IF($G486&gt;0,$N486/$G486,0))</f>
        <v/>
      </c>
      <c r="P486" s="12">
        <f>IF($G486="","",$G486*$H486)</f>
        <v/>
      </c>
      <c r="Q486" s="12">
        <f>IF($N486="","",$N486-$I486*'設定'!$C$7)</f>
        <v/>
      </c>
      <c r="R486" s="14">
        <f>IF($N486="","",IF(AND($N486&gt;='設定'!$C$4,$O486&gt;='設定'!$C$5),IF($Q486&gt;=0,"仕入れOK","OK・下落に弱い"),"見送り"))</f>
        <v/>
      </c>
      <c r="S486" s="9" t="n"/>
      <c r="T486" s="8" t="n"/>
      <c r="U486" s="4" t="n"/>
      <c r="V486" s="8" t="n"/>
      <c r="W486" s="12">
        <f>IF(OR($G486="",$U486=""),"",$U486-$G486-$M486-$J486)</f>
        <v/>
      </c>
      <c r="X486" s="12">
        <f>IF(OR($I486="",$U486=""),"",$I486-$U486)</f>
        <v/>
      </c>
      <c r="Y486" s="11">
        <f>IF(OR($T486="",$V486=""),"",$V486-$T486)</f>
        <v/>
      </c>
      <c r="Z486" s="11">
        <f>IF(OR($S486="未発送",$S486="発送済",$S486="査定済",$S486="入金済"),1,0)</f>
        <v/>
      </c>
      <c r="AA486" s="11">
        <f>IF($U486="",0,1)</f>
        <v/>
      </c>
    </row>
    <row r="487">
      <c r="A487" s="8" t="n"/>
      <c r="B487" s="9" t="n"/>
      <c r="C487" s="10" t="n"/>
      <c r="D487" s="9" t="n"/>
      <c r="E487" s="9" t="n"/>
      <c r="F487" s="9" t="n"/>
      <c r="G487" s="4" t="n"/>
      <c r="H487" s="5" t="n"/>
      <c r="I487" s="4" t="n"/>
      <c r="J487" s="4" t="n"/>
      <c r="K487" s="4" t="n"/>
      <c r="L487" s="11">
        <f>IF($G487="","",IF($F487="",1,MAX(1,COUNTIF($F$6:$F$505,$F487)-COUNTIFS($F$6:$F$505,$F487,$S$6:$S$505,"見送り"))))</f>
        <v/>
      </c>
      <c r="M487" s="12">
        <f>IF($G487="","",IF($K487="",'設定'!$C$6,$K487)/$L487)</f>
        <v/>
      </c>
      <c r="N487" s="12">
        <f>IF(OR($G487="",$I487=""),"",$I487-$G487-$M487-$J487)</f>
        <v/>
      </c>
      <c r="O487" s="13">
        <f>IF($N487="","",IF($G487&gt;0,$N487/$G487,0))</f>
        <v/>
      </c>
      <c r="P487" s="12">
        <f>IF($G487="","",$G487*$H487)</f>
        <v/>
      </c>
      <c r="Q487" s="12">
        <f>IF($N487="","",$N487-$I487*'設定'!$C$7)</f>
        <v/>
      </c>
      <c r="R487" s="14">
        <f>IF($N487="","",IF(AND($N487&gt;='設定'!$C$4,$O487&gt;='設定'!$C$5),IF($Q487&gt;=0,"仕入れOK","OK・下落に弱い"),"見送り"))</f>
        <v/>
      </c>
      <c r="S487" s="9" t="n"/>
      <c r="T487" s="8" t="n"/>
      <c r="U487" s="4" t="n"/>
      <c r="V487" s="8" t="n"/>
      <c r="W487" s="12">
        <f>IF(OR($G487="",$U487=""),"",$U487-$G487-$M487-$J487)</f>
        <v/>
      </c>
      <c r="X487" s="12">
        <f>IF(OR($I487="",$U487=""),"",$I487-$U487)</f>
        <v/>
      </c>
      <c r="Y487" s="11">
        <f>IF(OR($T487="",$V487=""),"",$V487-$T487)</f>
        <v/>
      </c>
      <c r="Z487" s="11">
        <f>IF(OR($S487="未発送",$S487="発送済",$S487="査定済",$S487="入金済"),1,0)</f>
        <v/>
      </c>
      <c r="AA487" s="11">
        <f>IF($U487="",0,1)</f>
        <v/>
      </c>
    </row>
    <row r="488">
      <c r="A488" s="8" t="n"/>
      <c r="B488" s="9" t="n"/>
      <c r="C488" s="10" t="n"/>
      <c r="D488" s="9" t="n"/>
      <c r="E488" s="9" t="n"/>
      <c r="F488" s="9" t="n"/>
      <c r="G488" s="4" t="n"/>
      <c r="H488" s="5" t="n"/>
      <c r="I488" s="4" t="n"/>
      <c r="J488" s="4" t="n"/>
      <c r="K488" s="4" t="n"/>
      <c r="L488" s="11">
        <f>IF($G488="","",IF($F488="",1,MAX(1,COUNTIF($F$6:$F$505,$F488)-COUNTIFS($F$6:$F$505,$F488,$S$6:$S$505,"見送り"))))</f>
        <v/>
      </c>
      <c r="M488" s="12">
        <f>IF($G488="","",IF($K488="",'設定'!$C$6,$K488)/$L488)</f>
        <v/>
      </c>
      <c r="N488" s="12">
        <f>IF(OR($G488="",$I488=""),"",$I488-$G488-$M488-$J488)</f>
        <v/>
      </c>
      <c r="O488" s="13">
        <f>IF($N488="","",IF($G488&gt;0,$N488/$G488,0))</f>
        <v/>
      </c>
      <c r="P488" s="12">
        <f>IF($G488="","",$G488*$H488)</f>
        <v/>
      </c>
      <c r="Q488" s="12">
        <f>IF($N488="","",$N488-$I488*'設定'!$C$7)</f>
        <v/>
      </c>
      <c r="R488" s="14">
        <f>IF($N488="","",IF(AND($N488&gt;='設定'!$C$4,$O488&gt;='設定'!$C$5),IF($Q488&gt;=0,"仕入れOK","OK・下落に弱い"),"見送り"))</f>
        <v/>
      </c>
      <c r="S488" s="9" t="n"/>
      <c r="T488" s="8" t="n"/>
      <c r="U488" s="4" t="n"/>
      <c r="V488" s="8" t="n"/>
      <c r="W488" s="12">
        <f>IF(OR($G488="",$U488=""),"",$U488-$G488-$M488-$J488)</f>
        <v/>
      </c>
      <c r="X488" s="12">
        <f>IF(OR($I488="",$U488=""),"",$I488-$U488)</f>
        <v/>
      </c>
      <c r="Y488" s="11">
        <f>IF(OR($T488="",$V488=""),"",$V488-$T488)</f>
        <v/>
      </c>
      <c r="Z488" s="11">
        <f>IF(OR($S488="未発送",$S488="発送済",$S488="査定済",$S488="入金済"),1,0)</f>
        <v/>
      </c>
      <c r="AA488" s="11">
        <f>IF($U488="",0,1)</f>
        <v/>
      </c>
    </row>
    <row r="489">
      <c r="A489" s="8" t="n"/>
      <c r="B489" s="9" t="n"/>
      <c r="C489" s="10" t="n"/>
      <c r="D489" s="9" t="n"/>
      <c r="E489" s="9" t="n"/>
      <c r="F489" s="9" t="n"/>
      <c r="G489" s="4" t="n"/>
      <c r="H489" s="5" t="n"/>
      <c r="I489" s="4" t="n"/>
      <c r="J489" s="4" t="n"/>
      <c r="K489" s="4" t="n"/>
      <c r="L489" s="11">
        <f>IF($G489="","",IF($F489="",1,MAX(1,COUNTIF($F$6:$F$505,$F489)-COUNTIFS($F$6:$F$505,$F489,$S$6:$S$505,"見送り"))))</f>
        <v/>
      </c>
      <c r="M489" s="12">
        <f>IF($G489="","",IF($K489="",'設定'!$C$6,$K489)/$L489)</f>
        <v/>
      </c>
      <c r="N489" s="12">
        <f>IF(OR($G489="",$I489=""),"",$I489-$G489-$M489-$J489)</f>
        <v/>
      </c>
      <c r="O489" s="13">
        <f>IF($N489="","",IF($G489&gt;0,$N489/$G489,0))</f>
        <v/>
      </c>
      <c r="P489" s="12">
        <f>IF($G489="","",$G489*$H489)</f>
        <v/>
      </c>
      <c r="Q489" s="12">
        <f>IF($N489="","",$N489-$I489*'設定'!$C$7)</f>
        <v/>
      </c>
      <c r="R489" s="14">
        <f>IF($N489="","",IF(AND($N489&gt;='設定'!$C$4,$O489&gt;='設定'!$C$5),IF($Q489&gt;=0,"仕入れOK","OK・下落に弱い"),"見送り"))</f>
        <v/>
      </c>
      <c r="S489" s="9" t="n"/>
      <c r="T489" s="8" t="n"/>
      <c r="U489" s="4" t="n"/>
      <c r="V489" s="8" t="n"/>
      <c r="W489" s="12">
        <f>IF(OR($G489="",$U489=""),"",$U489-$G489-$M489-$J489)</f>
        <v/>
      </c>
      <c r="X489" s="12">
        <f>IF(OR($I489="",$U489=""),"",$I489-$U489)</f>
        <v/>
      </c>
      <c r="Y489" s="11">
        <f>IF(OR($T489="",$V489=""),"",$V489-$T489)</f>
        <v/>
      </c>
      <c r="Z489" s="11">
        <f>IF(OR($S489="未発送",$S489="発送済",$S489="査定済",$S489="入金済"),1,0)</f>
        <v/>
      </c>
      <c r="AA489" s="11">
        <f>IF($U489="",0,1)</f>
        <v/>
      </c>
    </row>
    <row r="490">
      <c r="A490" s="8" t="n"/>
      <c r="B490" s="9" t="n"/>
      <c r="C490" s="10" t="n"/>
      <c r="D490" s="9" t="n"/>
      <c r="E490" s="9" t="n"/>
      <c r="F490" s="9" t="n"/>
      <c r="G490" s="4" t="n"/>
      <c r="H490" s="5" t="n"/>
      <c r="I490" s="4" t="n"/>
      <c r="J490" s="4" t="n"/>
      <c r="K490" s="4" t="n"/>
      <c r="L490" s="11">
        <f>IF($G490="","",IF($F490="",1,MAX(1,COUNTIF($F$6:$F$505,$F490)-COUNTIFS($F$6:$F$505,$F490,$S$6:$S$505,"見送り"))))</f>
        <v/>
      </c>
      <c r="M490" s="12">
        <f>IF($G490="","",IF($K490="",'設定'!$C$6,$K490)/$L490)</f>
        <v/>
      </c>
      <c r="N490" s="12">
        <f>IF(OR($G490="",$I490=""),"",$I490-$G490-$M490-$J490)</f>
        <v/>
      </c>
      <c r="O490" s="13">
        <f>IF($N490="","",IF($G490&gt;0,$N490/$G490,0))</f>
        <v/>
      </c>
      <c r="P490" s="12">
        <f>IF($G490="","",$G490*$H490)</f>
        <v/>
      </c>
      <c r="Q490" s="12">
        <f>IF($N490="","",$N490-$I490*'設定'!$C$7)</f>
        <v/>
      </c>
      <c r="R490" s="14">
        <f>IF($N490="","",IF(AND($N490&gt;='設定'!$C$4,$O490&gt;='設定'!$C$5),IF($Q490&gt;=0,"仕入れOK","OK・下落に弱い"),"見送り"))</f>
        <v/>
      </c>
      <c r="S490" s="9" t="n"/>
      <c r="T490" s="8" t="n"/>
      <c r="U490" s="4" t="n"/>
      <c r="V490" s="8" t="n"/>
      <c r="W490" s="12">
        <f>IF(OR($G490="",$U490=""),"",$U490-$G490-$M490-$J490)</f>
        <v/>
      </c>
      <c r="X490" s="12">
        <f>IF(OR($I490="",$U490=""),"",$I490-$U490)</f>
        <v/>
      </c>
      <c r="Y490" s="11">
        <f>IF(OR($T490="",$V490=""),"",$V490-$T490)</f>
        <v/>
      </c>
      <c r="Z490" s="11">
        <f>IF(OR($S490="未発送",$S490="発送済",$S490="査定済",$S490="入金済"),1,0)</f>
        <v/>
      </c>
      <c r="AA490" s="11">
        <f>IF($U490="",0,1)</f>
        <v/>
      </c>
    </row>
    <row r="491">
      <c r="A491" s="8" t="n"/>
      <c r="B491" s="9" t="n"/>
      <c r="C491" s="10" t="n"/>
      <c r="D491" s="9" t="n"/>
      <c r="E491" s="9" t="n"/>
      <c r="F491" s="9" t="n"/>
      <c r="G491" s="4" t="n"/>
      <c r="H491" s="5" t="n"/>
      <c r="I491" s="4" t="n"/>
      <c r="J491" s="4" t="n"/>
      <c r="K491" s="4" t="n"/>
      <c r="L491" s="11">
        <f>IF($G491="","",IF($F491="",1,MAX(1,COUNTIF($F$6:$F$505,$F491)-COUNTIFS($F$6:$F$505,$F491,$S$6:$S$505,"見送り"))))</f>
        <v/>
      </c>
      <c r="M491" s="12">
        <f>IF($G491="","",IF($K491="",'設定'!$C$6,$K491)/$L491)</f>
        <v/>
      </c>
      <c r="N491" s="12">
        <f>IF(OR($G491="",$I491=""),"",$I491-$G491-$M491-$J491)</f>
        <v/>
      </c>
      <c r="O491" s="13">
        <f>IF($N491="","",IF($G491&gt;0,$N491/$G491,0))</f>
        <v/>
      </c>
      <c r="P491" s="12">
        <f>IF($G491="","",$G491*$H491)</f>
        <v/>
      </c>
      <c r="Q491" s="12">
        <f>IF($N491="","",$N491-$I491*'設定'!$C$7)</f>
        <v/>
      </c>
      <c r="R491" s="14">
        <f>IF($N491="","",IF(AND($N491&gt;='設定'!$C$4,$O491&gt;='設定'!$C$5),IF($Q491&gt;=0,"仕入れOK","OK・下落に弱い"),"見送り"))</f>
        <v/>
      </c>
      <c r="S491" s="9" t="n"/>
      <c r="T491" s="8" t="n"/>
      <c r="U491" s="4" t="n"/>
      <c r="V491" s="8" t="n"/>
      <c r="W491" s="12">
        <f>IF(OR($G491="",$U491=""),"",$U491-$G491-$M491-$J491)</f>
        <v/>
      </c>
      <c r="X491" s="12">
        <f>IF(OR($I491="",$U491=""),"",$I491-$U491)</f>
        <v/>
      </c>
      <c r="Y491" s="11">
        <f>IF(OR($T491="",$V491=""),"",$V491-$T491)</f>
        <v/>
      </c>
      <c r="Z491" s="11">
        <f>IF(OR($S491="未発送",$S491="発送済",$S491="査定済",$S491="入金済"),1,0)</f>
        <v/>
      </c>
      <c r="AA491" s="11">
        <f>IF($U491="",0,1)</f>
        <v/>
      </c>
    </row>
    <row r="492">
      <c r="A492" s="8" t="n"/>
      <c r="B492" s="9" t="n"/>
      <c r="C492" s="10" t="n"/>
      <c r="D492" s="9" t="n"/>
      <c r="E492" s="9" t="n"/>
      <c r="F492" s="9" t="n"/>
      <c r="G492" s="4" t="n"/>
      <c r="H492" s="5" t="n"/>
      <c r="I492" s="4" t="n"/>
      <c r="J492" s="4" t="n"/>
      <c r="K492" s="4" t="n"/>
      <c r="L492" s="11">
        <f>IF($G492="","",IF($F492="",1,MAX(1,COUNTIF($F$6:$F$505,$F492)-COUNTIFS($F$6:$F$505,$F492,$S$6:$S$505,"見送り"))))</f>
        <v/>
      </c>
      <c r="M492" s="12">
        <f>IF($G492="","",IF($K492="",'設定'!$C$6,$K492)/$L492)</f>
        <v/>
      </c>
      <c r="N492" s="12">
        <f>IF(OR($G492="",$I492=""),"",$I492-$G492-$M492-$J492)</f>
        <v/>
      </c>
      <c r="O492" s="13">
        <f>IF($N492="","",IF($G492&gt;0,$N492/$G492,0))</f>
        <v/>
      </c>
      <c r="P492" s="12">
        <f>IF($G492="","",$G492*$H492)</f>
        <v/>
      </c>
      <c r="Q492" s="12">
        <f>IF($N492="","",$N492-$I492*'設定'!$C$7)</f>
        <v/>
      </c>
      <c r="R492" s="14">
        <f>IF($N492="","",IF(AND($N492&gt;='設定'!$C$4,$O492&gt;='設定'!$C$5),IF($Q492&gt;=0,"仕入れOK","OK・下落に弱い"),"見送り"))</f>
        <v/>
      </c>
      <c r="S492" s="9" t="n"/>
      <c r="T492" s="8" t="n"/>
      <c r="U492" s="4" t="n"/>
      <c r="V492" s="8" t="n"/>
      <c r="W492" s="12">
        <f>IF(OR($G492="",$U492=""),"",$U492-$G492-$M492-$J492)</f>
        <v/>
      </c>
      <c r="X492" s="12">
        <f>IF(OR($I492="",$U492=""),"",$I492-$U492)</f>
        <v/>
      </c>
      <c r="Y492" s="11">
        <f>IF(OR($T492="",$V492=""),"",$V492-$T492)</f>
        <v/>
      </c>
      <c r="Z492" s="11">
        <f>IF(OR($S492="未発送",$S492="発送済",$S492="査定済",$S492="入金済"),1,0)</f>
        <v/>
      </c>
      <c r="AA492" s="11">
        <f>IF($U492="",0,1)</f>
        <v/>
      </c>
    </row>
    <row r="493">
      <c r="A493" s="8" t="n"/>
      <c r="B493" s="9" t="n"/>
      <c r="C493" s="10" t="n"/>
      <c r="D493" s="9" t="n"/>
      <c r="E493" s="9" t="n"/>
      <c r="F493" s="9" t="n"/>
      <c r="G493" s="4" t="n"/>
      <c r="H493" s="5" t="n"/>
      <c r="I493" s="4" t="n"/>
      <c r="J493" s="4" t="n"/>
      <c r="K493" s="4" t="n"/>
      <c r="L493" s="11">
        <f>IF($G493="","",IF($F493="",1,MAX(1,COUNTIF($F$6:$F$505,$F493)-COUNTIFS($F$6:$F$505,$F493,$S$6:$S$505,"見送り"))))</f>
        <v/>
      </c>
      <c r="M493" s="12">
        <f>IF($G493="","",IF($K493="",'設定'!$C$6,$K493)/$L493)</f>
        <v/>
      </c>
      <c r="N493" s="12">
        <f>IF(OR($G493="",$I493=""),"",$I493-$G493-$M493-$J493)</f>
        <v/>
      </c>
      <c r="O493" s="13">
        <f>IF($N493="","",IF($G493&gt;0,$N493/$G493,0))</f>
        <v/>
      </c>
      <c r="P493" s="12">
        <f>IF($G493="","",$G493*$H493)</f>
        <v/>
      </c>
      <c r="Q493" s="12">
        <f>IF($N493="","",$N493-$I493*'設定'!$C$7)</f>
        <v/>
      </c>
      <c r="R493" s="14">
        <f>IF($N493="","",IF(AND($N493&gt;='設定'!$C$4,$O493&gt;='設定'!$C$5),IF($Q493&gt;=0,"仕入れOK","OK・下落に弱い"),"見送り"))</f>
        <v/>
      </c>
      <c r="S493" s="9" t="n"/>
      <c r="T493" s="8" t="n"/>
      <c r="U493" s="4" t="n"/>
      <c r="V493" s="8" t="n"/>
      <c r="W493" s="12">
        <f>IF(OR($G493="",$U493=""),"",$U493-$G493-$M493-$J493)</f>
        <v/>
      </c>
      <c r="X493" s="12">
        <f>IF(OR($I493="",$U493=""),"",$I493-$U493)</f>
        <v/>
      </c>
      <c r="Y493" s="11">
        <f>IF(OR($T493="",$V493=""),"",$V493-$T493)</f>
        <v/>
      </c>
      <c r="Z493" s="11">
        <f>IF(OR($S493="未発送",$S493="発送済",$S493="査定済",$S493="入金済"),1,0)</f>
        <v/>
      </c>
      <c r="AA493" s="11">
        <f>IF($U493="",0,1)</f>
        <v/>
      </c>
    </row>
    <row r="494">
      <c r="A494" s="8" t="n"/>
      <c r="B494" s="9" t="n"/>
      <c r="C494" s="10" t="n"/>
      <c r="D494" s="9" t="n"/>
      <c r="E494" s="9" t="n"/>
      <c r="F494" s="9" t="n"/>
      <c r="G494" s="4" t="n"/>
      <c r="H494" s="5" t="n"/>
      <c r="I494" s="4" t="n"/>
      <c r="J494" s="4" t="n"/>
      <c r="K494" s="4" t="n"/>
      <c r="L494" s="11">
        <f>IF($G494="","",IF($F494="",1,MAX(1,COUNTIF($F$6:$F$505,$F494)-COUNTIFS($F$6:$F$505,$F494,$S$6:$S$505,"見送り"))))</f>
        <v/>
      </c>
      <c r="M494" s="12">
        <f>IF($G494="","",IF($K494="",'設定'!$C$6,$K494)/$L494)</f>
        <v/>
      </c>
      <c r="N494" s="12">
        <f>IF(OR($G494="",$I494=""),"",$I494-$G494-$M494-$J494)</f>
        <v/>
      </c>
      <c r="O494" s="13">
        <f>IF($N494="","",IF($G494&gt;0,$N494/$G494,0))</f>
        <v/>
      </c>
      <c r="P494" s="12">
        <f>IF($G494="","",$G494*$H494)</f>
        <v/>
      </c>
      <c r="Q494" s="12">
        <f>IF($N494="","",$N494-$I494*'設定'!$C$7)</f>
        <v/>
      </c>
      <c r="R494" s="14">
        <f>IF($N494="","",IF(AND($N494&gt;='設定'!$C$4,$O494&gt;='設定'!$C$5),IF($Q494&gt;=0,"仕入れOK","OK・下落に弱い"),"見送り"))</f>
        <v/>
      </c>
      <c r="S494" s="9" t="n"/>
      <c r="T494" s="8" t="n"/>
      <c r="U494" s="4" t="n"/>
      <c r="V494" s="8" t="n"/>
      <c r="W494" s="12">
        <f>IF(OR($G494="",$U494=""),"",$U494-$G494-$M494-$J494)</f>
        <v/>
      </c>
      <c r="X494" s="12">
        <f>IF(OR($I494="",$U494=""),"",$I494-$U494)</f>
        <v/>
      </c>
      <c r="Y494" s="11">
        <f>IF(OR($T494="",$V494=""),"",$V494-$T494)</f>
        <v/>
      </c>
      <c r="Z494" s="11">
        <f>IF(OR($S494="未発送",$S494="発送済",$S494="査定済",$S494="入金済"),1,0)</f>
        <v/>
      </c>
      <c r="AA494" s="11">
        <f>IF($U494="",0,1)</f>
        <v/>
      </c>
    </row>
    <row r="495">
      <c r="A495" s="8" t="n"/>
      <c r="B495" s="9" t="n"/>
      <c r="C495" s="10" t="n"/>
      <c r="D495" s="9" t="n"/>
      <c r="E495" s="9" t="n"/>
      <c r="F495" s="9" t="n"/>
      <c r="G495" s="4" t="n"/>
      <c r="H495" s="5" t="n"/>
      <c r="I495" s="4" t="n"/>
      <c r="J495" s="4" t="n"/>
      <c r="K495" s="4" t="n"/>
      <c r="L495" s="11">
        <f>IF($G495="","",IF($F495="",1,MAX(1,COUNTIF($F$6:$F$505,$F495)-COUNTIFS($F$6:$F$505,$F495,$S$6:$S$505,"見送り"))))</f>
        <v/>
      </c>
      <c r="M495" s="12">
        <f>IF($G495="","",IF($K495="",'設定'!$C$6,$K495)/$L495)</f>
        <v/>
      </c>
      <c r="N495" s="12">
        <f>IF(OR($G495="",$I495=""),"",$I495-$G495-$M495-$J495)</f>
        <v/>
      </c>
      <c r="O495" s="13">
        <f>IF($N495="","",IF($G495&gt;0,$N495/$G495,0))</f>
        <v/>
      </c>
      <c r="P495" s="12">
        <f>IF($G495="","",$G495*$H495)</f>
        <v/>
      </c>
      <c r="Q495" s="12">
        <f>IF($N495="","",$N495-$I495*'設定'!$C$7)</f>
        <v/>
      </c>
      <c r="R495" s="14">
        <f>IF($N495="","",IF(AND($N495&gt;='設定'!$C$4,$O495&gt;='設定'!$C$5),IF($Q495&gt;=0,"仕入れOK","OK・下落に弱い"),"見送り"))</f>
        <v/>
      </c>
      <c r="S495" s="9" t="n"/>
      <c r="T495" s="8" t="n"/>
      <c r="U495" s="4" t="n"/>
      <c r="V495" s="8" t="n"/>
      <c r="W495" s="12">
        <f>IF(OR($G495="",$U495=""),"",$U495-$G495-$M495-$J495)</f>
        <v/>
      </c>
      <c r="X495" s="12">
        <f>IF(OR($I495="",$U495=""),"",$I495-$U495)</f>
        <v/>
      </c>
      <c r="Y495" s="11">
        <f>IF(OR($T495="",$V495=""),"",$V495-$T495)</f>
        <v/>
      </c>
      <c r="Z495" s="11">
        <f>IF(OR($S495="未発送",$S495="発送済",$S495="査定済",$S495="入金済"),1,0)</f>
        <v/>
      </c>
      <c r="AA495" s="11">
        <f>IF($U495="",0,1)</f>
        <v/>
      </c>
    </row>
    <row r="496">
      <c r="A496" s="8" t="n"/>
      <c r="B496" s="9" t="n"/>
      <c r="C496" s="10" t="n"/>
      <c r="D496" s="9" t="n"/>
      <c r="E496" s="9" t="n"/>
      <c r="F496" s="9" t="n"/>
      <c r="G496" s="4" t="n"/>
      <c r="H496" s="5" t="n"/>
      <c r="I496" s="4" t="n"/>
      <c r="J496" s="4" t="n"/>
      <c r="K496" s="4" t="n"/>
      <c r="L496" s="11">
        <f>IF($G496="","",IF($F496="",1,MAX(1,COUNTIF($F$6:$F$505,$F496)-COUNTIFS($F$6:$F$505,$F496,$S$6:$S$505,"見送り"))))</f>
        <v/>
      </c>
      <c r="M496" s="12">
        <f>IF($G496="","",IF($K496="",'設定'!$C$6,$K496)/$L496)</f>
        <v/>
      </c>
      <c r="N496" s="12">
        <f>IF(OR($G496="",$I496=""),"",$I496-$G496-$M496-$J496)</f>
        <v/>
      </c>
      <c r="O496" s="13">
        <f>IF($N496="","",IF($G496&gt;0,$N496/$G496,0))</f>
        <v/>
      </c>
      <c r="P496" s="12">
        <f>IF($G496="","",$G496*$H496)</f>
        <v/>
      </c>
      <c r="Q496" s="12">
        <f>IF($N496="","",$N496-$I496*'設定'!$C$7)</f>
        <v/>
      </c>
      <c r="R496" s="14">
        <f>IF($N496="","",IF(AND($N496&gt;='設定'!$C$4,$O496&gt;='設定'!$C$5),IF($Q496&gt;=0,"仕入れOK","OK・下落に弱い"),"見送り"))</f>
        <v/>
      </c>
      <c r="S496" s="9" t="n"/>
      <c r="T496" s="8" t="n"/>
      <c r="U496" s="4" t="n"/>
      <c r="V496" s="8" t="n"/>
      <c r="W496" s="12">
        <f>IF(OR($G496="",$U496=""),"",$U496-$G496-$M496-$J496)</f>
        <v/>
      </c>
      <c r="X496" s="12">
        <f>IF(OR($I496="",$U496=""),"",$I496-$U496)</f>
        <v/>
      </c>
      <c r="Y496" s="11">
        <f>IF(OR($T496="",$V496=""),"",$V496-$T496)</f>
        <v/>
      </c>
      <c r="Z496" s="11">
        <f>IF(OR($S496="未発送",$S496="発送済",$S496="査定済",$S496="入金済"),1,0)</f>
        <v/>
      </c>
      <c r="AA496" s="11">
        <f>IF($U496="",0,1)</f>
        <v/>
      </c>
    </row>
    <row r="497">
      <c r="A497" s="8" t="n"/>
      <c r="B497" s="9" t="n"/>
      <c r="C497" s="10" t="n"/>
      <c r="D497" s="9" t="n"/>
      <c r="E497" s="9" t="n"/>
      <c r="F497" s="9" t="n"/>
      <c r="G497" s="4" t="n"/>
      <c r="H497" s="5" t="n"/>
      <c r="I497" s="4" t="n"/>
      <c r="J497" s="4" t="n"/>
      <c r="K497" s="4" t="n"/>
      <c r="L497" s="11">
        <f>IF($G497="","",IF($F497="",1,MAX(1,COUNTIF($F$6:$F$505,$F497)-COUNTIFS($F$6:$F$505,$F497,$S$6:$S$505,"見送り"))))</f>
        <v/>
      </c>
      <c r="M497" s="12">
        <f>IF($G497="","",IF($K497="",'設定'!$C$6,$K497)/$L497)</f>
        <v/>
      </c>
      <c r="N497" s="12">
        <f>IF(OR($G497="",$I497=""),"",$I497-$G497-$M497-$J497)</f>
        <v/>
      </c>
      <c r="O497" s="13">
        <f>IF($N497="","",IF($G497&gt;0,$N497/$G497,0))</f>
        <v/>
      </c>
      <c r="P497" s="12">
        <f>IF($G497="","",$G497*$H497)</f>
        <v/>
      </c>
      <c r="Q497" s="12">
        <f>IF($N497="","",$N497-$I497*'設定'!$C$7)</f>
        <v/>
      </c>
      <c r="R497" s="14">
        <f>IF($N497="","",IF(AND($N497&gt;='設定'!$C$4,$O497&gt;='設定'!$C$5),IF($Q497&gt;=0,"仕入れOK","OK・下落に弱い"),"見送り"))</f>
        <v/>
      </c>
      <c r="S497" s="9" t="n"/>
      <c r="T497" s="8" t="n"/>
      <c r="U497" s="4" t="n"/>
      <c r="V497" s="8" t="n"/>
      <c r="W497" s="12">
        <f>IF(OR($G497="",$U497=""),"",$U497-$G497-$M497-$J497)</f>
        <v/>
      </c>
      <c r="X497" s="12">
        <f>IF(OR($I497="",$U497=""),"",$I497-$U497)</f>
        <v/>
      </c>
      <c r="Y497" s="11">
        <f>IF(OR($T497="",$V497=""),"",$V497-$T497)</f>
        <v/>
      </c>
      <c r="Z497" s="11">
        <f>IF(OR($S497="未発送",$S497="発送済",$S497="査定済",$S497="入金済"),1,0)</f>
        <v/>
      </c>
      <c r="AA497" s="11">
        <f>IF($U497="",0,1)</f>
        <v/>
      </c>
    </row>
    <row r="498">
      <c r="A498" s="8" t="n"/>
      <c r="B498" s="9" t="n"/>
      <c r="C498" s="10" t="n"/>
      <c r="D498" s="9" t="n"/>
      <c r="E498" s="9" t="n"/>
      <c r="F498" s="9" t="n"/>
      <c r="G498" s="4" t="n"/>
      <c r="H498" s="5" t="n"/>
      <c r="I498" s="4" t="n"/>
      <c r="J498" s="4" t="n"/>
      <c r="K498" s="4" t="n"/>
      <c r="L498" s="11">
        <f>IF($G498="","",IF($F498="",1,MAX(1,COUNTIF($F$6:$F$505,$F498)-COUNTIFS($F$6:$F$505,$F498,$S$6:$S$505,"見送り"))))</f>
        <v/>
      </c>
      <c r="M498" s="12">
        <f>IF($G498="","",IF($K498="",'設定'!$C$6,$K498)/$L498)</f>
        <v/>
      </c>
      <c r="N498" s="12">
        <f>IF(OR($G498="",$I498=""),"",$I498-$G498-$M498-$J498)</f>
        <v/>
      </c>
      <c r="O498" s="13">
        <f>IF($N498="","",IF($G498&gt;0,$N498/$G498,0))</f>
        <v/>
      </c>
      <c r="P498" s="12">
        <f>IF($G498="","",$G498*$H498)</f>
        <v/>
      </c>
      <c r="Q498" s="12">
        <f>IF($N498="","",$N498-$I498*'設定'!$C$7)</f>
        <v/>
      </c>
      <c r="R498" s="14">
        <f>IF($N498="","",IF(AND($N498&gt;='設定'!$C$4,$O498&gt;='設定'!$C$5),IF($Q498&gt;=0,"仕入れOK","OK・下落に弱い"),"見送り"))</f>
        <v/>
      </c>
      <c r="S498" s="9" t="n"/>
      <c r="T498" s="8" t="n"/>
      <c r="U498" s="4" t="n"/>
      <c r="V498" s="8" t="n"/>
      <c r="W498" s="12">
        <f>IF(OR($G498="",$U498=""),"",$U498-$G498-$M498-$J498)</f>
        <v/>
      </c>
      <c r="X498" s="12">
        <f>IF(OR($I498="",$U498=""),"",$I498-$U498)</f>
        <v/>
      </c>
      <c r="Y498" s="11">
        <f>IF(OR($T498="",$V498=""),"",$V498-$T498)</f>
        <v/>
      </c>
      <c r="Z498" s="11">
        <f>IF(OR($S498="未発送",$S498="発送済",$S498="査定済",$S498="入金済"),1,0)</f>
        <v/>
      </c>
      <c r="AA498" s="11">
        <f>IF($U498="",0,1)</f>
        <v/>
      </c>
    </row>
    <row r="499">
      <c r="A499" s="8" t="n"/>
      <c r="B499" s="9" t="n"/>
      <c r="C499" s="10" t="n"/>
      <c r="D499" s="9" t="n"/>
      <c r="E499" s="9" t="n"/>
      <c r="F499" s="9" t="n"/>
      <c r="G499" s="4" t="n"/>
      <c r="H499" s="5" t="n"/>
      <c r="I499" s="4" t="n"/>
      <c r="J499" s="4" t="n"/>
      <c r="K499" s="4" t="n"/>
      <c r="L499" s="11">
        <f>IF($G499="","",IF($F499="",1,MAX(1,COUNTIF($F$6:$F$505,$F499)-COUNTIFS($F$6:$F$505,$F499,$S$6:$S$505,"見送り"))))</f>
        <v/>
      </c>
      <c r="M499" s="12">
        <f>IF($G499="","",IF($K499="",'設定'!$C$6,$K499)/$L499)</f>
        <v/>
      </c>
      <c r="N499" s="12">
        <f>IF(OR($G499="",$I499=""),"",$I499-$G499-$M499-$J499)</f>
        <v/>
      </c>
      <c r="O499" s="13">
        <f>IF($N499="","",IF($G499&gt;0,$N499/$G499,0))</f>
        <v/>
      </c>
      <c r="P499" s="12">
        <f>IF($G499="","",$G499*$H499)</f>
        <v/>
      </c>
      <c r="Q499" s="12">
        <f>IF($N499="","",$N499-$I499*'設定'!$C$7)</f>
        <v/>
      </c>
      <c r="R499" s="14">
        <f>IF($N499="","",IF(AND($N499&gt;='設定'!$C$4,$O499&gt;='設定'!$C$5),IF($Q499&gt;=0,"仕入れOK","OK・下落に弱い"),"見送り"))</f>
        <v/>
      </c>
      <c r="S499" s="9" t="n"/>
      <c r="T499" s="8" t="n"/>
      <c r="U499" s="4" t="n"/>
      <c r="V499" s="8" t="n"/>
      <c r="W499" s="12">
        <f>IF(OR($G499="",$U499=""),"",$U499-$G499-$M499-$J499)</f>
        <v/>
      </c>
      <c r="X499" s="12">
        <f>IF(OR($I499="",$U499=""),"",$I499-$U499)</f>
        <v/>
      </c>
      <c r="Y499" s="11">
        <f>IF(OR($T499="",$V499=""),"",$V499-$T499)</f>
        <v/>
      </c>
      <c r="Z499" s="11">
        <f>IF(OR($S499="未発送",$S499="発送済",$S499="査定済",$S499="入金済"),1,0)</f>
        <v/>
      </c>
      <c r="AA499" s="11">
        <f>IF($U499="",0,1)</f>
        <v/>
      </c>
    </row>
    <row r="500">
      <c r="A500" s="8" t="n"/>
      <c r="B500" s="9" t="n"/>
      <c r="C500" s="10" t="n"/>
      <c r="D500" s="9" t="n"/>
      <c r="E500" s="9" t="n"/>
      <c r="F500" s="9" t="n"/>
      <c r="G500" s="4" t="n"/>
      <c r="H500" s="5" t="n"/>
      <c r="I500" s="4" t="n"/>
      <c r="J500" s="4" t="n"/>
      <c r="K500" s="4" t="n"/>
      <c r="L500" s="11">
        <f>IF($G500="","",IF($F500="",1,MAX(1,COUNTIF($F$6:$F$505,$F500)-COUNTIFS($F$6:$F$505,$F500,$S$6:$S$505,"見送り"))))</f>
        <v/>
      </c>
      <c r="M500" s="12">
        <f>IF($G500="","",IF($K500="",'設定'!$C$6,$K500)/$L500)</f>
        <v/>
      </c>
      <c r="N500" s="12">
        <f>IF(OR($G500="",$I500=""),"",$I500-$G500-$M500-$J500)</f>
        <v/>
      </c>
      <c r="O500" s="13">
        <f>IF($N500="","",IF($G500&gt;0,$N500/$G500,0))</f>
        <v/>
      </c>
      <c r="P500" s="12">
        <f>IF($G500="","",$G500*$H500)</f>
        <v/>
      </c>
      <c r="Q500" s="12">
        <f>IF($N500="","",$N500-$I500*'設定'!$C$7)</f>
        <v/>
      </c>
      <c r="R500" s="14">
        <f>IF($N500="","",IF(AND($N500&gt;='設定'!$C$4,$O500&gt;='設定'!$C$5),IF($Q500&gt;=0,"仕入れOK","OK・下落に弱い"),"見送り"))</f>
        <v/>
      </c>
      <c r="S500" s="9" t="n"/>
      <c r="T500" s="8" t="n"/>
      <c r="U500" s="4" t="n"/>
      <c r="V500" s="8" t="n"/>
      <c r="W500" s="12">
        <f>IF(OR($G500="",$U500=""),"",$U500-$G500-$M500-$J500)</f>
        <v/>
      </c>
      <c r="X500" s="12">
        <f>IF(OR($I500="",$U500=""),"",$I500-$U500)</f>
        <v/>
      </c>
      <c r="Y500" s="11">
        <f>IF(OR($T500="",$V500=""),"",$V500-$T500)</f>
        <v/>
      </c>
      <c r="Z500" s="11">
        <f>IF(OR($S500="未発送",$S500="発送済",$S500="査定済",$S500="入金済"),1,0)</f>
        <v/>
      </c>
      <c r="AA500" s="11">
        <f>IF($U500="",0,1)</f>
        <v/>
      </c>
    </row>
    <row r="501">
      <c r="A501" s="8" t="n"/>
      <c r="B501" s="9" t="n"/>
      <c r="C501" s="10" t="n"/>
      <c r="D501" s="9" t="n"/>
      <c r="E501" s="9" t="n"/>
      <c r="F501" s="9" t="n"/>
      <c r="G501" s="4" t="n"/>
      <c r="H501" s="5" t="n"/>
      <c r="I501" s="4" t="n"/>
      <c r="J501" s="4" t="n"/>
      <c r="K501" s="4" t="n"/>
      <c r="L501" s="11">
        <f>IF($G501="","",IF($F501="",1,MAX(1,COUNTIF($F$6:$F$505,$F501)-COUNTIFS($F$6:$F$505,$F501,$S$6:$S$505,"見送り"))))</f>
        <v/>
      </c>
      <c r="M501" s="12">
        <f>IF($G501="","",IF($K501="",'設定'!$C$6,$K501)/$L501)</f>
        <v/>
      </c>
      <c r="N501" s="12">
        <f>IF(OR($G501="",$I501=""),"",$I501-$G501-$M501-$J501)</f>
        <v/>
      </c>
      <c r="O501" s="13">
        <f>IF($N501="","",IF($G501&gt;0,$N501/$G501,0))</f>
        <v/>
      </c>
      <c r="P501" s="12">
        <f>IF($G501="","",$G501*$H501)</f>
        <v/>
      </c>
      <c r="Q501" s="12">
        <f>IF($N501="","",$N501-$I501*'設定'!$C$7)</f>
        <v/>
      </c>
      <c r="R501" s="14">
        <f>IF($N501="","",IF(AND($N501&gt;='設定'!$C$4,$O501&gt;='設定'!$C$5),IF($Q501&gt;=0,"仕入れOK","OK・下落に弱い"),"見送り"))</f>
        <v/>
      </c>
      <c r="S501" s="9" t="n"/>
      <c r="T501" s="8" t="n"/>
      <c r="U501" s="4" t="n"/>
      <c r="V501" s="8" t="n"/>
      <c r="W501" s="12">
        <f>IF(OR($G501="",$U501=""),"",$U501-$G501-$M501-$J501)</f>
        <v/>
      </c>
      <c r="X501" s="12">
        <f>IF(OR($I501="",$U501=""),"",$I501-$U501)</f>
        <v/>
      </c>
      <c r="Y501" s="11">
        <f>IF(OR($T501="",$V501=""),"",$V501-$T501)</f>
        <v/>
      </c>
      <c r="Z501" s="11">
        <f>IF(OR($S501="未発送",$S501="発送済",$S501="査定済",$S501="入金済"),1,0)</f>
        <v/>
      </c>
      <c r="AA501" s="11">
        <f>IF($U501="",0,1)</f>
        <v/>
      </c>
    </row>
    <row r="502">
      <c r="A502" s="8" t="n"/>
      <c r="B502" s="9" t="n"/>
      <c r="C502" s="10" t="n"/>
      <c r="D502" s="9" t="n"/>
      <c r="E502" s="9" t="n"/>
      <c r="F502" s="9" t="n"/>
      <c r="G502" s="4" t="n"/>
      <c r="H502" s="5" t="n"/>
      <c r="I502" s="4" t="n"/>
      <c r="J502" s="4" t="n"/>
      <c r="K502" s="4" t="n"/>
      <c r="L502" s="11">
        <f>IF($G502="","",IF($F502="",1,MAX(1,COUNTIF($F$6:$F$505,$F502)-COUNTIFS($F$6:$F$505,$F502,$S$6:$S$505,"見送り"))))</f>
        <v/>
      </c>
      <c r="M502" s="12">
        <f>IF($G502="","",IF($K502="",'設定'!$C$6,$K502)/$L502)</f>
        <v/>
      </c>
      <c r="N502" s="12">
        <f>IF(OR($G502="",$I502=""),"",$I502-$G502-$M502-$J502)</f>
        <v/>
      </c>
      <c r="O502" s="13">
        <f>IF($N502="","",IF($G502&gt;0,$N502/$G502,0))</f>
        <v/>
      </c>
      <c r="P502" s="12">
        <f>IF($G502="","",$G502*$H502)</f>
        <v/>
      </c>
      <c r="Q502" s="12">
        <f>IF($N502="","",$N502-$I502*'設定'!$C$7)</f>
        <v/>
      </c>
      <c r="R502" s="14">
        <f>IF($N502="","",IF(AND($N502&gt;='設定'!$C$4,$O502&gt;='設定'!$C$5),IF($Q502&gt;=0,"仕入れOK","OK・下落に弱い"),"見送り"))</f>
        <v/>
      </c>
      <c r="S502" s="9" t="n"/>
      <c r="T502" s="8" t="n"/>
      <c r="U502" s="4" t="n"/>
      <c r="V502" s="8" t="n"/>
      <c r="W502" s="12">
        <f>IF(OR($G502="",$U502=""),"",$U502-$G502-$M502-$J502)</f>
        <v/>
      </c>
      <c r="X502" s="12">
        <f>IF(OR($I502="",$U502=""),"",$I502-$U502)</f>
        <v/>
      </c>
      <c r="Y502" s="11">
        <f>IF(OR($T502="",$V502=""),"",$V502-$T502)</f>
        <v/>
      </c>
      <c r="Z502" s="11">
        <f>IF(OR($S502="未発送",$S502="発送済",$S502="査定済",$S502="入金済"),1,0)</f>
        <v/>
      </c>
      <c r="AA502" s="11">
        <f>IF($U502="",0,1)</f>
        <v/>
      </c>
    </row>
    <row r="503">
      <c r="A503" s="8" t="n"/>
      <c r="B503" s="9" t="n"/>
      <c r="C503" s="10" t="n"/>
      <c r="D503" s="9" t="n"/>
      <c r="E503" s="9" t="n"/>
      <c r="F503" s="9" t="n"/>
      <c r="G503" s="4" t="n"/>
      <c r="H503" s="5" t="n"/>
      <c r="I503" s="4" t="n"/>
      <c r="J503" s="4" t="n"/>
      <c r="K503" s="4" t="n"/>
      <c r="L503" s="11">
        <f>IF($G503="","",IF($F503="",1,MAX(1,COUNTIF($F$6:$F$505,$F503)-COUNTIFS($F$6:$F$505,$F503,$S$6:$S$505,"見送り"))))</f>
        <v/>
      </c>
      <c r="M503" s="12">
        <f>IF($G503="","",IF($K503="",'設定'!$C$6,$K503)/$L503)</f>
        <v/>
      </c>
      <c r="N503" s="12">
        <f>IF(OR($G503="",$I503=""),"",$I503-$G503-$M503-$J503)</f>
        <v/>
      </c>
      <c r="O503" s="13">
        <f>IF($N503="","",IF($G503&gt;0,$N503/$G503,0))</f>
        <v/>
      </c>
      <c r="P503" s="12">
        <f>IF($G503="","",$G503*$H503)</f>
        <v/>
      </c>
      <c r="Q503" s="12">
        <f>IF($N503="","",$N503-$I503*'設定'!$C$7)</f>
        <v/>
      </c>
      <c r="R503" s="14">
        <f>IF($N503="","",IF(AND($N503&gt;='設定'!$C$4,$O503&gt;='設定'!$C$5),IF($Q503&gt;=0,"仕入れOK","OK・下落に弱い"),"見送り"))</f>
        <v/>
      </c>
      <c r="S503" s="9" t="n"/>
      <c r="T503" s="8" t="n"/>
      <c r="U503" s="4" t="n"/>
      <c r="V503" s="8" t="n"/>
      <c r="W503" s="12">
        <f>IF(OR($G503="",$U503=""),"",$U503-$G503-$M503-$J503)</f>
        <v/>
      </c>
      <c r="X503" s="12">
        <f>IF(OR($I503="",$U503=""),"",$I503-$U503)</f>
        <v/>
      </c>
      <c r="Y503" s="11">
        <f>IF(OR($T503="",$V503=""),"",$V503-$T503)</f>
        <v/>
      </c>
      <c r="Z503" s="11">
        <f>IF(OR($S503="未発送",$S503="発送済",$S503="査定済",$S503="入金済"),1,0)</f>
        <v/>
      </c>
      <c r="AA503" s="11">
        <f>IF($U503="",0,1)</f>
        <v/>
      </c>
    </row>
    <row r="504">
      <c r="A504" s="8" t="n"/>
      <c r="B504" s="9" t="n"/>
      <c r="C504" s="10" t="n"/>
      <c r="D504" s="9" t="n"/>
      <c r="E504" s="9" t="n"/>
      <c r="F504" s="9" t="n"/>
      <c r="G504" s="4" t="n"/>
      <c r="H504" s="5" t="n"/>
      <c r="I504" s="4" t="n"/>
      <c r="J504" s="4" t="n"/>
      <c r="K504" s="4" t="n"/>
      <c r="L504" s="11">
        <f>IF($G504="","",IF($F504="",1,MAX(1,COUNTIF($F$6:$F$505,$F504)-COUNTIFS($F$6:$F$505,$F504,$S$6:$S$505,"見送り"))))</f>
        <v/>
      </c>
      <c r="M504" s="12">
        <f>IF($G504="","",IF($K504="",'設定'!$C$6,$K504)/$L504)</f>
        <v/>
      </c>
      <c r="N504" s="12">
        <f>IF(OR($G504="",$I504=""),"",$I504-$G504-$M504-$J504)</f>
        <v/>
      </c>
      <c r="O504" s="13">
        <f>IF($N504="","",IF($G504&gt;0,$N504/$G504,0))</f>
        <v/>
      </c>
      <c r="P504" s="12">
        <f>IF($G504="","",$G504*$H504)</f>
        <v/>
      </c>
      <c r="Q504" s="12">
        <f>IF($N504="","",$N504-$I504*'設定'!$C$7)</f>
        <v/>
      </c>
      <c r="R504" s="14">
        <f>IF($N504="","",IF(AND($N504&gt;='設定'!$C$4,$O504&gt;='設定'!$C$5),IF($Q504&gt;=0,"仕入れOK","OK・下落に弱い"),"見送り"))</f>
        <v/>
      </c>
      <c r="S504" s="9" t="n"/>
      <c r="T504" s="8" t="n"/>
      <c r="U504" s="4" t="n"/>
      <c r="V504" s="8" t="n"/>
      <c r="W504" s="12">
        <f>IF(OR($G504="",$U504=""),"",$U504-$G504-$M504-$J504)</f>
        <v/>
      </c>
      <c r="X504" s="12">
        <f>IF(OR($I504="",$U504=""),"",$I504-$U504)</f>
        <v/>
      </c>
      <c r="Y504" s="11">
        <f>IF(OR($T504="",$V504=""),"",$V504-$T504)</f>
        <v/>
      </c>
      <c r="Z504" s="11">
        <f>IF(OR($S504="未発送",$S504="発送済",$S504="査定済",$S504="入金済"),1,0)</f>
        <v/>
      </c>
      <c r="AA504" s="11">
        <f>IF($U504="",0,1)</f>
        <v/>
      </c>
    </row>
    <row r="505">
      <c r="A505" s="8" t="n"/>
      <c r="B505" s="9" t="n"/>
      <c r="C505" s="10" t="n"/>
      <c r="D505" s="9" t="n"/>
      <c r="E505" s="9" t="n"/>
      <c r="F505" s="9" t="n"/>
      <c r="G505" s="4" t="n"/>
      <c r="H505" s="5" t="n"/>
      <c r="I505" s="4" t="n"/>
      <c r="J505" s="4" t="n"/>
      <c r="K505" s="4" t="n"/>
      <c r="L505" s="11">
        <f>IF($G505="","",IF($F505="",1,MAX(1,COUNTIF($F$6:$F$505,$F505)-COUNTIFS($F$6:$F$505,$F505,$S$6:$S$505,"見送り"))))</f>
        <v/>
      </c>
      <c r="M505" s="12">
        <f>IF($G505="","",IF($K505="",'設定'!$C$6,$K505)/$L505)</f>
        <v/>
      </c>
      <c r="N505" s="12">
        <f>IF(OR($G505="",$I505=""),"",$I505-$G505-$M505-$J505)</f>
        <v/>
      </c>
      <c r="O505" s="13">
        <f>IF($N505="","",IF($G505&gt;0,$N505/$G505,0))</f>
        <v/>
      </c>
      <c r="P505" s="12">
        <f>IF($G505="","",$G505*$H505)</f>
        <v/>
      </c>
      <c r="Q505" s="12">
        <f>IF($N505="","",$N505-$I505*'設定'!$C$7)</f>
        <v/>
      </c>
      <c r="R505" s="14">
        <f>IF($N505="","",IF(AND($N505&gt;='設定'!$C$4,$O505&gt;='設定'!$C$5),IF($Q505&gt;=0,"仕入れOK","OK・下落に弱い"),"見送り"))</f>
        <v/>
      </c>
      <c r="S505" s="9" t="n"/>
      <c r="T505" s="8" t="n"/>
      <c r="U505" s="4" t="n"/>
      <c r="V505" s="8" t="n"/>
      <c r="W505" s="12">
        <f>IF(OR($G505="",$U505=""),"",$U505-$G505-$M505-$J505)</f>
        <v/>
      </c>
      <c r="X505" s="12">
        <f>IF(OR($I505="",$U505=""),"",$I505-$U505)</f>
        <v/>
      </c>
      <c r="Y505" s="11">
        <f>IF(OR($T505="",$V505=""),"",$V505-$T505)</f>
        <v/>
      </c>
      <c r="Z505" s="11">
        <f>IF(OR($S505="未発送",$S505="発送済",$S505="査定済",$S505="入金済"),1,0)</f>
        <v/>
      </c>
      <c r="AA505" s="11">
        <f>IF($U505="",0,1)</f>
        <v/>
      </c>
    </row>
  </sheetData>
  <autoFilter ref="A5:AA505"/>
  <conditionalFormatting sqref="R6:R505">
    <cfRule type="expression" priority="1" dxfId="0">
      <formula>$R6="仕入れOK"</formula>
    </cfRule>
    <cfRule type="expression" priority="2" dxfId="1">
      <formula>$R6="OK・下落に弱い"</formula>
    </cfRule>
    <cfRule type="expression" priority="3" dxfId="2">
      <formula>$R6="見送り"</formula>
    </cfRule>
  </conditionalFormatting>
  <dataValidations count="1">
    <dataValidation sqref="S6:S505" showDropDown="0" showInputMessage="0" showErrorMessage="0" allowBlank="1" errorTitle="状態" error="リストから選んでください" type="list">
      <formula1>"未発送,発送済,査定済,入金済,見送り"</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お金の流れと月別の成績</t>
        </is>
      </c>
    </row>
    <row r="3">
      <c r="A3" s="3" t="inlineStr">
        <is>
          <t>いま立て替えている現金</t>
        </is>
      </c>
    </row>
    <row r="4">
      <c r="A4" s="2" t="inlineStr">
        <is>
          <t>仕入れ済みで未入金の支払額</t>
        </is>
      </c>
      <c r="D4" s="12">
        <f>SUMIFS('仕入れ判定'!$G$6:$G$505,'仕入れ判定'!$S$6:$S$505,"未発送")+SUMIFS('仕入れ判定'!$G$6:$G$505,'仕入れ判定'!$S$6:$S$505,"発送済")+SUMIFS('仕入れ判定'!$G$6:$G$505,'仕入れ判定'!$S$6:$S$505,"査定済")</f>
        <v/>
      </c>
      <c r="E4" s="2" t="inlineStr">
        <is>
          <t>カードの支払日までに、この金額が戻ってくるかを確認する。</t>
        </is>
      </c>
    </row>
    <row r="5">
      <c r="A5" s="2" t="inlineStr">
        <is>
          <t>入金待ちの見込み額（発送済は提示額、査定済は確定額）</t>
        </is>
      </c>
      <c r="D5" s="12">
        <f>SUMIFS('仕入れ判定'!$I$6:$I$505,'仕入れ判定'!$S$6:$S$505,"発送済")+SUMIFS('仕入れ判定'!$U$6:$U$505,'仕入れ判定'!$S$6:$S$505,"査定済")</f>
        <v/>
      </c>
    </row>
    <row r="6">
      <c r="A6" s="2" t="inlineStr">
        <is>
          <t>未発送の点数</t>
        </is>
      </c>
      <c r="D6" s="11">
        <f>COUNTIFS('仕入れ判定'!$S$6:$S$505,"未発送")</f>
        <v/>
      </c>
    </row>
    <row r="9">
      <c r="A9" s="3" t="inlineStr">
        <is>
          <t>月別の成績（A列の月は書き換えてよい）</t>
        </is>
      </c>
    </row>
    <row r="10">
      <c r="A10" s="15" t="inlineStr">
        <is>
          <t>月</t>
        </is>
      </c>
      <c r="B10" s="15" t="inlineStr">
        <is>
          <t>仕入れ件数</t>
        </is>
      </c>
      <c r="C10" s="15" t="inlineStr">
        <is>
          <t>仕入れ額</t>
        </is>
      </c>
      <c r="D10" s="15" t="inlineStr">
        <is>
          <t>見込み利益</t>
        </is>
      </c>
      <c r="E10" s="15" t="inlineStr">
        <is>
          <t>確定利益</t>
        </is>
      </c>
      <c r="F10" s="15" t="inlineStr">
        <is>
          <t>減額合計</t>
        </is>
      </c>
      <c r="G10" s="15" t="inlineStr">
        <is>
          <t>確定利益率</t>
        </is>
      </c>
    </row>
    <row r="11">
      <c r="A11" s="16" t="n">
        <v>46296</v>
      </c>
      <c r="B11" s="11">
        <f>SUMIFS('仕入れ判定'!$Z$6:$Z$505,'仕入れ判定'!$A$6:$A$505,"&gt;="&amp;$A11,'仕入れ判定'!$A$6:$A$505,"&lt;"&amp;EDATE($A11,1))</f>
        <v/>
      </c>
      <c r="C11" s="12">
        <f>SUMIFS('仕入れ判定'!$G$6:$G$505,'仕入れ判定'!$A$6:$A$505,"&gt;="&amp;$A11,'仕入れ判定'!$A$6:$A$505,"&lt;"&amp;EDATE($A11,1),'仕入れ判定'!$Z$6:$Z$505,1)</f>
        <v/>
      </c>
      <c r="D11" s="12">
        <f>SUMIFS('仕入れ判定'!$N$6:$N$505,'仕入れ判定'!$A$6:$A$505,"&gt;="&amp;$A11,'仕入れ判定'!$A$6:$A$505,"&lt;"&amp;EDATE($A11,1),'仕入れ判定'!$Z$6:$Z$505,1)</f>
        <v/>
      </c>
      <c r="E11" s="12">
        <f>SUMIFS('仕入れ判定'!$W$6:$W$505,'仕入れ判定'!$A$6:$A$505,"&gt;="&amp;$A11,'仕入れ判定'!$A$6:$A$505,"&lt;"&amp;EDATE($A11,1),'仕入れ判定'!$AA$6:$AA$505,1)</f>
        <v/>
      </c>
      <c r="F11" s="12">
        <f>SUMIFS('仕入れ判定'!$X$6:$X$505,'仕入れ判定'!$A$6:$A$505,"&gt;="&amp;$A11,'仕入れ判定'!$A$6:$A$505,"&lt;"&amp;EDATE($A11,1),'仕入れ判定'!$AA$6:$AA$505,1)</f>
        <v/>
      </c>
      <c r="G11" s="13">
        <f>IFERROR(E11/SUMIFS('仕入れ判定'!$G$6:$G$505,'仕入れ判定'!$A$6:$A$505,"&gt;="&amp;$A11,'仕入れ判定'!$A$6:$A$505,"&lt;"&amp;EDATE($A11,1),'仕入れ判定'!$AA$6:$AA$505,1),0)</f>
        <v/>
      </c>
    </row>
    <row r="12">
      <c r="A12" s="17">
        <f>EDATE(A11,1)</f>
        <v/>
      </c>
      <c r="B12" s="11">
        <f>SUMIFS('仕入れ判定'!$Z$6:$Z$505,'仕入れ判定'!$A$6:$A$505,"&gt;="&amp;$A12,'仕入れ判定'!$A$6:$A$505,"&lt;"&amp;EDATE($A12,1))</f>
        <v/>
      </c>
      <c r="C12" s="12">
        <f>SUMIFS('仕入れ判定'!$G$6:$G$505,'仕入れ判定'!$A$6:$A$505,"&gt;="&amp;$A12,'仕入れ判定'!$A$6:$A$505,"&lt;"&amp;EDATE($A12,1),'仕入れ判定'!$Z$6:$Z$505,1)</f>
        <v/>
      </c>
      <c r="D12" s="12">
        <f>SUMIFS('仕入れ判定'!$N$6:$N$505,'仕入れ判定'!$A$6:$A$505,"&gt;="&amp;$A12,'仕入れ判定'!$A$6:$A$505,"&lt;"&amp;EDATE($A12,1),'仕入れ判定'!$Z$6:$Z$505,1)</f>
        <v/>
      </c>
      <c r="E12" s="12">
        <f>SUMIFS('仕入れ判定'!$W$6:$W$505,'仕入れ判定'!$A$6:$A$505,"&gt;="&amp;$A12,'仕入れ判定'!$A$6:$A$505,"&lt;"&amp;EDATE($A12,1),'仕入れ判定'!$AA$6:$AA$505,1)</f>
        <v/>
      </c>
      <c r="F12" s="12">
        <f>SUMIFS('仕入れ判定'!$X$6:$X$505,'仕入れ判定'!$A$6:$A$505,"&gt;="&amp;$A12,'仕入れ判定'!$A$6:$A$505,"&lt;"&amp;EDATE($A12,1),'仕入れ判定'!$AA$6:$AA$505,1)</f>
        <v/>
      </c>
      <c r="G12" s="13">
        <f>IFERROR(E12/SUMIFS('仕入れ判定'!$G$6:$G$505,'仕入れ判定'!$A$6:$A$505,"&gt;="&amp;$A12,'仕入れ判定'!$A$6:$A$505,"&lt;"&amp;EDATE($A12,1),'仕入れ判定'!$AA$6:$AA$505,1),0)</f>
        <v/>
      </c>
    </row>
    <row r="13">
      <c r="A13" s="17">
        <f>EDATE(A12,1)</f>
        <v/>
      </c>
      <c r="B13" s="11">
        <f>SUMIFS('仕入れ判定'!$Z$6:$Z$505,'仕入れ判定'!$A$6:$A$505,"&gt;="&amp;$A13,'仕入れ判定'!$A$6:$A$505,"&lt;"&amp;EDATE($A13,1))</f>
        <v/>
      </c>
      <c r="C13" s="12">
        <f>SUMIFS('仕入れ判定'!$G$6:$G$505,'仕入れ判定'!$A$6:$A$505,"&gt;="&amp;$A13,'仕入れ判定'!$A$6:$A$505,"&lt;"&amp;EDATE($A13,1),'仕入れ判定'!$Z$6:$Z$505,1)</f>
        <v/>
      </c>
      <c r="D13" s="12">
        <f>SUMIFS('仕入れ判定'!$N$6:$N$505,'仕入れ判定'!$A$6:$A$505,"&gt;="&amp;$A13,'仕入れ判定'!$A$6:$A$505,"&lt;"&amp;EDATE($A13,1),'仕入れ判定'!$Z$6:$Z$505,1)</f>
        <v/>
      </c>
      <c r="E13" s="12">
        <f>SUMIFS('仕入れ判定'!$W$6:$W$505,'仕入れ判定'!$A$6:$A$505,"&gt;="&amp;$A13,'仕入れ判定'!$A$6:$A$505,"&lt;"&amp;EDATE($A13,1),'仕入れ判定'!$AA$6:$AA$505,1)</f>
        <v/>
      </c>
      <c r="F13" s="12">
        <f>SUMIFS('仕入れ判定'!$X$6:$X$505,'仕入れ判定'!$A$6:$A$505,"&gt;="&amp;$A13,'仕入れ判定'!$A$6:$A$505,"&lt;"&amp;EDATE($A13,1),'仕入れ判定'!$AA$6:$AA$505,1)</f>
        <v/>
      </c>
      <c r="G13" s="13">
        <f>IFERROR(E13/SUMIFS('仕入れ判定'!$G$6:$G$505,'仕入れ判定'!$A$6:$A$505,"&gt;="&amp;$A13,'仕入れ判定'!$A$6:$A$505,"&lt;"&amp;EDATE($A13,1),'仕入れ判定'!$AA$6:$AA$505,1),0)</f>
        <v/>
      </c>
    </row>
    <row r="14">
      <c r="A14" s="17">
        <f>EDATE(A13,1)</f>
        <v/>
      </c>
      <c r="B14" s="11">
        <f>SUMIFS('仕入れ判定'!$Z$6:$Z$505,'仕入れ判定'!$A$6:$A$505,"&gt;="&amp;$A14,'仕入れ判定'!$A$6:$A$505,"&lt;"&amp;EDATE($A14,1))</f>
        <v/>
      </c>
      <c r="C14" s="12">
        <f>SUMIFS('仕入れ判定'!$G$6:$G$505,'仕入れ判定'!$A$6:$A$505,"&gt;="&amp;$A14,'仕入れ判定'!$A$6:$A$505,"&lt;"&amp;EDATE($A14,1),'仕入れ判定'!$Z$6:$Z$505,1)</f>
        <v/>
      </c>
      <c r="D14" s="12">
        <f>SUMIFS('仕入れ判定'!$N$6:$N$505,'仕入れ判定'!$A$6:$A$505,"&gt;="&amp;$A14,'仕入れ判定'!$A$6:$A$505,"&lt;"&amp;EDATE($A14,1),'仕入れ判定'!$Z$6:$Z$505,1)</f>
        <v/>
      </c>
      <c r="E14" s="12">
        <f>SUMIFS('仕入れ判定'!$W$6:$W$505,'仕入れ判定'!$A$6:$A$505,"&gt;="&amp;$A14,'仕入れ判定'!$A$6:$A$505,"&lt;"&amp;EDATE($A14,1),'仕入れ判定'!$AA$6:$AA$505,1)</f>
        <v/>
      </c>
      <c r="F14" s="12">
        <f>SUMIFS('仕入れ判定'!$X$6:$X$505,'仕入れ判定'!$A$6:$A$505,"&gt;="&amp;$A14,'仕入れ判定'!$A$6:$A$505,"&lt;"&amp;EDATE($A14,1),'仕入れ判定'!$AA$6:$AA$505,1)</f>
        <v/>
      </c>
      <c r="G14" s="13">
        <f>IFERROR(E14/SUMIFS('仕入れ判定'!$G$6:$G$505,'仕入れ判定'!$A$6:$A$505,"&gt;="&amp;$A14,'仕入れ判定'!$A$6:$A$505,"&lt;"&amp;EDATE($A14,1),'仕入れ判定'!$AA$6:$AA$505,1),0)</f>
        <v/>
      </c>
    </row>
    <row r="15">
      <c r="A15" s="17">
        <f>EDATE(A14,1)</f>
        <v/>
      </c>
      <c r="B15" s="11">
        <f>SUMIFS('仕入れ判定'!$Z$6:$Z$505,'仕入れ判定'!$A$6:$A$505,"&gt;="&amp;$A15,'仕入れ判定'!$A$6:$A$505,"&lt;"&amp;EDATE($A15,1))</f>
        <v/>
      </c>
      <c r="C15" s="12">
        <f>SUMIFS('仕入れ判定'!$G$6:$G$505,'仕入れ判定'!$A$6:$A$505,"&gt;="&amp;$A15,'仕入れ判定'!$A$6:$A$505,"&lt;"&amp;EDATE($A15,1),'仕入れ判定'!$Z$6:$Z$505,1)</f>
        <v/>
      </c>
      <c r="D15" s="12">
        <f>SUMIFS('仕入れ判定'!$N$6:$N$505,'仕入れ判定'!$A$6:$A$505,"&gt;="&amp;$A15,'仕入れ判定'!$A$6:$A$505,"&lt;"&amp;EDATE($A15,1),'仕入れ判定'!$Z$6:$Z$505,1)</f>
        <v/>
      </c>
      <c r="E15" s="12">
        <f>SUMIFS('仕入れ判定'!$W$6:$W$505,'仕入れ判定'!$A$6:$A$505,"&gt;="&amp;$A15,'仕入れ判定'!$A$6:$A$505,"&lt;"&amp;EDATE($A15,1),'仕入れ判定'!$AA$6:$AA$505,1)</f>
        <v/>
      </c>
      <c r="F15" s="12">
        <f>SUMIFS('仕入れ判定'!$X$6:$X$505,'仕入れ判定'!$A$6:$A$505,"&gt;="&amp;$A15,'仕入れ判定'!$A$6:$A$505,"&lt;"&amp;EDATE($A15,1),'仕入れ判定'!$AA$6:$AA$505,1)</f>
        <v/>
      </c>
      <c r="G15" s="13">
        <f>IFERROR(E15/SUMIFS('仕入れ判定'!$G$6:$G$505,'仕入れ判定'!$A$6:$A$505,"&gt;="&amp;$A15,'仕入れ判定'!$A$6:$A$505,"&lt;"&amp;EDATE($A15,1),'仕入れ判定'!$AA$6:$AA$505,1),0)</f>
        <v/>
      </c>
    </row>
    <row r="16">
      <c r="A16" s="17">
        <f>EDATE(A15,1)</f>
        <v/>
      </c>
      <c r="B16" s="11">
        <f>SUMIFS('仕入れ判定'!$Z$6:$Z$505,'仕入れ判定'!$A$6:$A$505,"&gt;="&amp;$A16,'仕入れ判定'!$A$6:$A$505,"&lt;"&amp;EDATE($A16,1))</f>
        <v/>
      </c>
      <c r="C16" s="12">
        <f>SUMIFS('仕入れ判定'!$G$6:$G$505,'仕入れ判定'!$A$6:$A$505,"&gt;="&amp;$A16,'仕入れ判定'!$A$6:$A$505,"&lt;"&amp;EDATE($A16,1),'仕入れ判定'!$Z$6:$Z$505,1)</f>
        <v/>
      </c>
      <c r="D16" s="12">
        <f>SUMIFS('仕入れ判定'!$N$6:$N$505,'仕入れ判定'!$A$6:$A$505,"&gt;="&amp;$A16,'仕入れ判定'!$A$6:$A$505,"&lt;"&amp;EDATE($A16,1),'仕入れ判定'!$Z$6:$Z$505,1)</f>
        <v/>
      </c>
      <c r="E16" s="12">
        <f>SUMIFS('仕入れ判定'!$W$6:$W$505,'仕入れ判定'!$A$6:$A$505,"&gt;="&amp;$A16,'仕入れ判定'!$A$6:$A$505,"&lt;"&amp;EDATE($A16,1),'仕入れ判定'!$AA$6:$AA$505,1)</f>
        <v/>
      </c>
      <c r="F16" s="12">
        <f>SUMIFS('仕入れ判定'!$X$6:$X$505,'仕入れ判定'!$A$6:$A$505,"&gt;="&amp;$A16,'仕入れ判定'!$A$6:$A$505,"&lt;"&amp;EDATE($A16,1),'仕入れ判定'!$AA$6:$AA$505,1)</f>
        <v/>
      </c>
      <c r="G16" s="13">
        <f>IFERROR(E16/SUMIFS('仕入れ判定'!$G$6:$G$505,'仕入れ判定'!$A$6:$A$505,"&gt;="&amp;$A16,'仕入れ判定'!$A$6:$A$505,"&lt;"&amp;EDATE($A16,1),'仕入れ判定'!$AA$6:$AA$505,1),0)</f>
        <v/>
      </c>
    </row>
    <row r="17">
      <c r="A17" s="17">
        <f>EDATE(A16,1)</f>
        <v/>
      </c>
      <c r="B17" s="11">
        <f>SUMIFS('仕入れ判定'!$Z$6:$Z$505,'仕入れ判定'!$A$6:$A$505,"&gt;="&amp;$A17,'仕入れ判定'!$A$6:$A$505,"&lt;"&amp;EDATE($A17,1))</f>
        <v/>
      </c>
      <c r="C17" s="12">
        <f>SUMIFS('仕入れ判定'!$G$6:$G$505,'仕入れ判定'!$A$6:$A$505,"&gt;="&amp;$A17,'仕入れ判定'!$A$6:$A$505,"&lt;"&amp;EDATE($A17,1),'仕入れ判定'!$Z$6:$Z$505,1)</f>
        <v/>
      </c>
      <c r="D17" s="12">
        <f>SUMIFS('仕入れ判定'!$N$6:$N$505,'仕入れ判定'!$A$6:$A$505,"&gt;="&amp;$A17,'仕入れ判定'!$A$6:$A$505,"&lt;"&amp;EDATE($A17,1),'仕入れ判定'!$Z$6:$Z$505,1)</f>
        <v/>
      </c>
      <c r="E17" s="12">
        <f>SUMIFS('仕入れ判定'!$W$6:$W$505,'仕入れ判定'!$A$6:$A$505,"&gt;="&amp;$A17,'仕入れ判定'!$A$6:$A$505,"&lt;"&amp;EDATE($A17,1),'仕入れ判定'!$AA$6:$AA$505,1)</f>
        <v/>
      </c>
      <c r="F17" s="12">
        <f>SUMIFS('仕入れ判定'!$X$6:$X$505,'仕入れ判定'!$A$6:$A$505,"&gt;="&amp;$A17,'仕入れ判定'!$A$6:$A$505,"&lt;"&amp;EDATE($A17,1),'仕入れ判定'!$AA$6:$AA$505,1)</f>
        <v/>
      </c>
      <c r="G17" s="13">
        <f>IFERROR(E17/SUMIFS('仕入れ判定'!$G$6:$G$505,'仕入れ判定'!$A$6:$A$505,"&gt;="&amp;$A17,'仕入れ判定'!$A$6:$A$505,"&lt;"&amp;EDATE($A17,1),'仕入れ判定'!$AA$6:$AA$505,1),0)</f>
        <v/>
      </c>
    </row>
    <row r="18">
      <c r="A18" s="17">
        <f>EDATE(A17,1)</f>
        <v/>
      </c>
      <c r="B18" s="11">
        <f>SUMIFS('仕入れ判定'!$Z$6:$Z$505,'仕入れ判定'!$A$6:$A$505,"&gt;="&amp;$A18,'仕入れ判定'!$A$6:$A$505,"&lt;"&amp;EDATE($A18,1))</f>
        <v/>
      </c>
      <c r="C18" s="12">
        <f>SUMIFS('仕入れ判定'!$G$6:$G$505,'仕入れ判定'!$A$6:$A$505,"&gt;="&amp;$A18,'仕入れ判定'!$A$6:$A$505,"&lt;"&amp;EDATE($A18,1),'仕入れ判定'!$Z$6:$Z$505,1)</f>
        <v/>
      </c>
      <c r="D18" s="12">
        <f>SUMIFS('仕入れ判定'!$N$6:$N$505,'仕入れ判定'!$A$6:$A$505,"&gt;="&amp;$A18,'仕入れ判定'!$A$6:$A$505,"&lt;"&amp;EDATE($A18,1),'仕入れ判定'!$Z$6:$Z$505,1)</f>
        <v/>
      </c>
      <c r="E18" s="12">
        <f>SUMIFS('仕入れ判定'!$W$6:$W$505,'仕入れ判定'!$A$6:$A$505,"&gt;="&amp;$A18,'仕入れ判定'!$A$6:$A$505,"&lt;"&amp;EDATE($A18,1),'仕入れ判定'!$AA$6:$AA$505,1)</f>
        <v/>
      </c>
      <c r="F18" s="12">
        <f>SUMIFS('仕入れ判定'!$X$6:$X$505,'仕入れ判定'!$A$6:$A$505,"&gt;="&amp;$A18,'仕入れ判定'!$A$6:$A$505,"&lt;"&amp;EDATE($A18,1),'仕入れ判定'!$AA$6:$AA$505,1)</f>
        <v/>
      </c>
      <c r="G18" s="13">
        <f>IFERROR(E18/SUMIFS('仕入れ判定'!$G$6:$G$505,'仕入れ判定'!$A$6:$A$505,"&gt;="&amp;$A18,'仕入れ判定'!$A$6:$A$505,"&lt;"&amp;EDATE($A18,1),'仕入れ判定'!$AA$6:$AA$505,1),0)</f>
        <v/>
      </c>
    </row>
    <row r="19">
      <c r="A19" s="17">
        <f>EDATE(A18,1)</f>
        <v/>
      </c>
      <c r="B19" s="11">
        <f>SUMIFS('仕入れ判定'!$Z$6:$Z$505,'仕入れ判定'!$A$6:$A$505,"&gt;="&amp;$A19,'仕入れ判定'!$A$6:$A$505,"&lt;"&amp;EDATE($A19,1))</f>
        <v/>
      </c>
      <c r="C19" s="12">
        <f>SUMIFS('仕入れ判定'!$G$6:$G$505,'仕入れ判定'!$A$6:$A$505,"&gt;="&amp;$A19,'仕入れ判定'!$A$6:$A$505,"&lt;"&amp;EDATE($A19,1),'仕入れ判定'!$Z$6:$Z$505,1)</f>
        <v/>
      </c>
      <c r="D19" s="12">
        <f>SUMIFS('仕入れ判定'!$N$6:$N$505,'仕入れ判定'!$A$6:$A$505,"&gt;="&amp;$A19,'仕入れ判定'!$A$6:$A$505,"&lt;"&amp;EDATE($A19,1),'仕入れ判定'!$Z$6:$Z$505,1)</f>
        <v/>
      </c>
      <c r="E19" s="12">
        <f>SUMIFS('仕入れ判定'!$W$6:$W$505,'仕入れ判定'!$A$6:$A$505,"&gt;="&amp;$A19,'仕入れ判定'!$A$6:$A$505,"&lt;"&amp;EDATE($A19,1),'仕入れ判定'!$AA$6:$AA$505,1)</f>
        <v/>
      </c>
      <c r="F19" s="12">
        <f>SUMIFS('仕入れ判定'!$X$6:$X$505,'仕入れ判定'!$A$6:$A$505,"&gt;="&amp;$A19,'仕入れ判定'!$A$6:$A$505,"&lt;"&amp;EDATE($A19,1),'仕入れ判定'!$AA$6:$AA$505,1)</f>
        <v/>
      </c>
      <c r="G19" s="13">
        <f>IFERROR(E19/SUMIFS('仕入れ判定'!$G$6:$G$505,'仕入れ判定'!$A$6:$A$505,"&gt;="&amp;$A19,'仕入れ判定'!$A$6:$A$505,"&lt;"&amp;EDATE($A19,1),'仕入れ判定'!$AA$6:$AA$505,1),0)</f>
        <v/>
      </c>
    </row>
    <row r="20">
      <c r="A20" s="17">
        <f>EDATE(A19,1)</f>
        <v/>
      </c>
      <c r="B20" s="11">
        <f>SUMIFS('仕入れ判定'!$Z$6:$Z$505,'仕入れ判定'!$A$6:$A$505,"&gt;="&amp;$A20,'仕入れ判定'!$A$6:$A$505,"&lt;"&amp;EDATE($A20,1))</f>
        <v/>
      </c>
      <c r="C20" s="12">
        <f>SUMIFS('仕入れ判定'!$G$6:$G$505,'仕入れ判定'!$A$6:$A$505,"&gt;="&amp;$A20,'仕入れ判定'!$A$6:$A$505,"&lt;"&amp;EDATE($A20,1),'仕入れ判定'!$Z$6:$Z$505,1)</f>
        <v/>
      </c>
      <c r="D20" s="12">
        <f>SUMIFS('仕入れ判定'!$N$6:$N$505,'仕入れ判定'!$A$6:$A$505,"&gt;="&amp;$A20,'仕入れ判定'!$A$6:$A$505,"&lt;"&amp;EDATE($A20,1),'仕入れ判定'!$Z$6:$Z$505,1)</f>
        <v/>
      </c>
      <c r="E20" s="12">
        <f>SUMIFS('仕入れ判定'!$W$6:$W$505,'仕入れ判定'!$A$6:$A$505,"&gt;="&amp;$A20,'仕入れ判定'!$A$6:$A$505,"&lt;"&amp;EDATE($A20,1),'仕入れ判定'!$AA$6:$AA$505,1)</f>
        <v/>
      </c>
      <c r="F20" s="12">
        <f>SUMIFS('仕入れ判定'!$X$6:$X$505,'仕入れ判定'!$A$6:$A$505,"&gt;="&amp;$A20,'仕入れ判定'!$A$6:$A$505,"&lt;"&amp;EDATE($A20,1),'仕入れ判定'!$AA$6:$AA$505,1)</f>
        <v/>
      </c>
      <c r="G20" s="13">
        <f>IFERROR(E20/SUMIFS('仕入れ判定'!$G$6:$G$505,'仕入れ判定'!$A$6:$A$505,"&gt;="&amp;$A20,'仕入れ判定'!$A$6:$A$505,"&lt;"&amp;EDATE($A20,1),'仕入れ判定'!$AA$6:$AA$505,1),0)</f>
        <v/>
      </c>
    </row>
    <row r="21">
      <c r="A21" s="17">
        <f>EDATE(A20,1)</f>
        <v/>
      </c>
      <c r="B21" s="11">
        <f>SUMIFS('仕入れ判定'!$Z$6:$Z$505,'仕入れ判定'!$A$6:$A$505,"&gt;="&amp;$A21,'仕入れ判定'!$A$6:$A$505,"&lt;"&amp;EDATE($A21,1))</f>
        <v/>
      </c>
      <c r="C21" s="12">
        <f>SUMIFS('仕入れ判定'!$G$6:$G$505,'仕入れ判定'!$A$6:$A$505,"&gt;="&amp;$A21,'仕入れ判定'!$A$6:$A$505,"&lt;"&amp;EDATE($A21,1),'仕入れ判定'!$Z$6:$Z$505,1)</f>
        <v/>
      </c>
      <c r="D21" s="12">
        <f>SUMIFS('仕入れ判定'!$N$6:$N$505,'仕入れ判定'!$A$6:$A$505,"&gt;="&amp;$A21,'仕入れ判定'!$A$6:$A$505,"&lt;"&amp;EDATE($A21,1),'仕入れ判定'!$Z$6:$Z$505,1)</f>
        <v/>
      </c>
      <c r="E21" s="12">
        <f>SUMIFS('仕入れ判定'!$W$6:$W$505,'仕入れ判定'!$A$6:$A$505,"&gt;="&amp;$A21,'仕入れ判定'!$A$6:$A$505,"&lt;"&amp;EDATE($A21,1),'仕入れ判定'!$AA$6:$AA$505,1)</f>
        <v/>
      </c>
      <c r="F21" s="12">
        <f>SUMIFS('仕入れ判定'!$X$6:$X$505,'仕入れ判定'!$A$6:$A$505,"&gt;="&amp;$A21,'仕入れ判定'!$A$6:$A$505,"&lt;"&amp;EDATE($A21,1),'仕入れ判定'!$AA$6:$AA$505,1)</f>
        <v/>
      </c>
      <c r="G21" s="13">
        <f>IFERROR(E21/SUMIFS('仕入れ判定'!$G$6:$G$505,'仕入れ判定'!$A$6:$A$505,"&gt;="&amp;$A21,'仕入れ判定'!$A$6:$A$505,"&lt;"&amp;EDATE($A21,1),'仕入れ判定'!$AA$6:$AA$505,1),0)</f>
        <v/>
      </c>
    </row>
    <row r="22">
      <c r="A22" s="17">
        <f>EDATE(A21,1)</f>
        <v/>
      </c>
      <c r="B22" s="11">
        <f>SUMIFS('仕入れ判定'!$Z$6:$Z$505,'仕入れ判定'!$A$6:$A$505,"&gt;="&amp;$A22,'仕入れ判定'!$A$6:$A$505,"&lt;"&amp;EDATE($A22,1))</f>
        <v/>
      </c>
      <c r="C22" s="12">
        <f>SUMIFS('仕入れ判定'!$G$6:$G$505,'仕入れ判定'!$A$6:$A$505,"&gt;="&amp;$A22,'仕入れ判定'!$A$6:$A$505,"&lt;"&amp;EDATE($A22,1),'仕入れ判定'!$Z$6:$Z$505,1)</f>
        <v/>
      </c>
      <c r="D22" s="12">
        <f>SUMIFS('仕入れ判定'!$N$6:$N$505,'仕入れ判定'!$A$6:$A$505,"&gt;="&amp;$A22,'仕入れ判定'!$A$6:$A$505,"&lt;"&amp;EDATE($A22,1),'仕入れ判定'!$Z$6:$Z$505,1)</f>
        <v/>
      </c>
      <c r="E22" s="12">
        <f>SUMIFS('仕入れ判定'!$W$6:$W$505,'仕入れ判定'!$A$6:$A$505,"&gt;="&amp;$A22,'仕入れ判定'!$A$6:$A$505,"&lt;"&amp;EDATE($A22,1),'仕入れ判定'!$AA$6:$AA$505,1)</f>
        <v/>
      </c>
      <c r="F22" s="12">
        <f>SUMIFS('仕入れ判定'!$X$6:$X$505,'仕入れ判定'!$A$6:$A$505,"&gt;="&amp;$A22,'仕入れ判定'!$A$6:$A$505,"&lt;"&amp;EDATE($A22,1),'仕入れ判定'!$AA$6:$AA$505,1)</f>
        <v/>
      </c>
      <c r="G22" s="13">
        <f>IFERROR(E22/SUMIFS('仕入れ判定'!$G$6:$G$505,'仕入れ判定'!$A$6:$A$505,"&gt;="&amp;$A22,'仕入れ判定'!$A$6:$A$505,"&lt;"&amp;EDATE($A22,1),'仕入れ判定'!$AA$6:$AA$505,1),0)</f>
        <v/>
      </c>
    </row>
    <row r="24">
      <c r="A24" s="2" t="inlineStr">
        <is>
          <t>確定利益率＝確定利益 ÷ 確定買取額が入った商品の仕入れ額。見込み利益との差が、減額・送料の見込み違いの大きさ。</t>
        </is>
      </c>
    </row>
    <row r="26">
      <c r="A26" s="3" t="inlineStr">
        <is>
          <t>買取店別の減額（B列に買取店名を入れる。仕入れ判定シートの「買取店」と同じ表記で）</t>
        </is>
      </c>
    </row>
    <row r="27">
      <c r="B27" s="18" t="inlineStr">
        <is>
          <t>買取店</t>
        </is>
      </c>
      <c r="C27" s="18" t="inlineStr">
        <is>
          <t>査定済みの件数</t>
        </is>
      </c>
      <c r="D27" s="18" t="inlineStr">
        <is>
          <t>提示額の合計</t>
        </is>
      </c>
      <c r="E27" s="18" t="inlineStr">
        <is>
          <t>減額合計</t>
        </is>
      </c>
      <c r="F27" s="18" t="inlineStr">
        <is>
          <t>減額率</t>
        </is>
      </c>
    </row>
    <row r="28">
      <c r="B28" s="9" t="inlineStr">
        <is>
          <t>買取店X</t>
        </is>
      </c>
      <c r="C28" s="11">
        <f>IF($B28="","",SUMIFS('仕入れ判定'!$AA$6:$AA$505,'仕入れ判定'!$E$6:$E$505,$B28))</f>
        <v/>
      </c>
      <c r="D28" s="12">
        <f>IF($B28="","",SUMIFS('仕入れ判定'!$I$6:$I$505,'仕入れ判定'!$E$6:$E$505,$B28,'仕入れ判定'!$AA$6:$AA$505,1))</f>
        <v/>
      </c>
      <c r="E28" s="12">
        <f>IF($B28="","",SUMIFS('仕入れ判定'!$X$6:$X$505,'仕入れ判定'!$E$6:$E$505,$B28,'仕入れ判定'!$AA$6:$AA$505,1))</f>
        <v/>
      </c>
      <c r="F28" s="13">
        <f>IF(OR($B28="",N(D28)=0),"",E28/D28)</f>
        <v/>
      </c>
    </row>
    <row r="29">
      <c r="B29" s="9" t="n"/>
      <c r="C29" s="11">
        <f>IF($B29="","",SUMIFS('仕入れ判定'!$AA$6:$AA$505,'仕入れ判定'!$E$6:$E$505,$B29))</f>
        <v/>
      </c>
      <c r="D29" s="12">
        <f>IF($B29="","",SUMIFS('仕入れ判定'!$I$6:$I$505,'仕入れ判定'!$E$6:$E$505,$B29,'仕入れ判定'!$AA$6:$AA$505,1))</f>
        <v/>
      </c>
      <c r="E29" s="12">
        <f>IF($B29="","",SUMIFS('仕入れ判定'!$X$6:$X$505,'仕入れ判定'!$E$6:$E$505,$B29,'仕入れ判定'!$AA$6:$AA$505,1))</f>
        <v/>
      </c>
      <c r="F29" s="13">
        <f>IF(OR($B29="",N(D29)=0),"",E29/D29)</f>
        <v/>
      </c>
    </row>
    <row r="30">
      <c r="B30" s="9" t="n"/>
      <c r="C30" s="11">
        <f>IF($B30="","",SUMIFS('仕入れ判定'!$AA$6:$AA$505,'仕入れ判定'!$E$6:$E$505,$B30))</f>
        <v/>
      </c>
      <c r="D30" s="12">
        <f>IF($B30="","",SUMIFS('仕入れ判定'!$I$6:$I$505,'仕入れ判定'!$E$6:$E$505,$B30,'仕入れ判定'!$AA$6:$AA$505,1))</f>
        <v/>
      </c>
      <c r="E30" s="12">
        <f>IF($B30="","",SUMIFS('仕入れ判定'!$X$6:$X$505,'仕入れ判定'!$E$6:$E$505,$B30,'仕入れ判定'!$AA$6:$AA$505,1))</f>
        <v/>
      </c>
      <c r="F30" s="13">
        <f>IF(OR($B30="",N(D30)=0),"",E30/D30)</f>
        <v/>
      </c>
    </row>
    <row r="31">
      <c r="B31" s="9" t="n"/>
      <c r="C31" s="11">
        <f>IF($B31="","",SUMIFS('仕入れ判定'!$AA$6:$AA$505,'仕入れ判定'!$E$6:$E$505,$B31))</f>
        <v/>
      </c>
      <c r="D31" s="12">
        <f>IF($B31="","",SUMIFS('仕入れ判定'!$I$6:$I$505,'仕入れ判定'!$E$6:$E$505,$B31,'仕入れ判定'!$AA$6:$AA$505,1))</f>
        <v/>
      </c>
      <c r="E31" s="12">
        <f>IF($B31="","",SUMIFS('仕入れ判定'!$X$6:$X$505,'仕入れ判定'!$E$6:$E$505,$B31,'仕入れ判定'!$AA$6:$AA$505,1))</f>
        <v/>
      </c>
      <c r="F31" s="13">
        <f>IF(OR($B31="",N(D31)=0),"",E31/D31)</f>
        <v/>
      </c>
    </row>
    <row r="32">
      <c r="B32" s="9" t="n"/>
      <c r="C32" s="11">
        <f>IF($B32="","",SUMIFS('仕入れ判定'!$AA$6:$AA$505,'仕入れ判定'!$E$6:$E$505,$B32))</f>
        <v/>
      </c>
      <c r="D32" s="12">
        <f>IF($B32="","",SUMIFS('仕入れ判定'!$I$6:$I$505,'仕入れ判定'!$E$6:$E$505,$B32,'仕入れ判定'!$AA$6:$AA$505,1))</f>
        <v/>
      </c>
      <c r="E32" s="12">
        <f>IF($B32="","",SUMIFS('仕入れ判定'!$X$6:$X$505,'仕入れ判定'!$E$6:$E$505,$B32,'仕入れ判定'!$AA$6:$AA$505,1))</f>
        <v/>
      </c>
      <c r="F32" s="13">
        <f>IF(OR($B32="",N(D32)=0),"",E32/D32)</f>
        <v/>
      </c>
    </row>
    <row r="33">
      <c r="B33" s="9" t="n"/>
      <c r="C33" s="11">
        <f>IF($B33="","",SUMIFS('仕入れ判定'!$AA$6:$AA$505,'仕入れ判定'!$E$6:$E$505,$B33))</f>
        <v/>
      </c>
      <c r="D33" s="12">
        <f>IF($B33="","",SUMIFS('仕入れ判定'!$I$6:$I$505,'仕入れ判定'!$E$6:$E$505,$B33,'仕入れ判定'!$AA$6:$AA$505,1))</f>
        <v/>
      </c>
      <c r="E33" s="12">
        <f>IF($B33="","",SUMIFS('仕入れ判定'!$X$6:$X$505,'仕入れ判定'!$E$6:$E$505,$B33,'仕入れ判定'!$AA$6:$AA$505,1))</f>
        <v/>
      </c>
      <c r="F33" s="13">
        <f>IF(OR($B33="",N(D33)=0),"",E33/D33)</f>
        <v/>
      </c>
    </row>
    <row r="34">
      <c r="B34" s="9" t="n"/>
      <c r="C34" s="11">
        <f>IF($B34="","",SUMIFS('仕入れ判定'!$AA$6:$AA$505,'仕入れ判定'!$E$6:$E$505,$B34))</f>
        <v/>
      </c>
      <c r="D34" s="12">
        <f>IF($B34="","",SUMIFS('仕入れ判定'!$I$6:$I$505,'仕入れ判定'!$E$6:$E$505,$B34,'仕入れ判定'!$AA$6:$AA$505,1))</f>
        <v/>
      </c>
      <c r="E34" s="12">
        <f>IF($B34="","",SUMIFS('仕入れ判定'!$X$6:$X$505,'仕入れ判定'!$E$6:$E$505,$B34,'仕入れ判定'!$AA$6:$AA$505,1))</f>
        <v/>
      </c>
      <c r="F34" s="13">
        <f>IF(OR($B34="",N(D34)=0),"",E34/D34)</f>
        <v/>
      </c>
    </row>
    <row r="35">
      <c r="B35" s="9" t="n"/>
      <c r="C35" s="11">
        <f>IF($B35="","",SUMIFS('仕入れ判定'!$AA$6:$AA$505,'仕入れ判定'!$E$6:$E$505,$B35))</f>
        <v/>
      </c>
      <c r="D35" s="12">
        <f>IF($B35="","",SUMIFS('仕入れ判定'!$I$6:$I$505,'仕入れ判定'!$E$6:$E$505,$B35,'仕入れ判定'!$AA$6:$AA$505,1))</f>
        <v/>
      </c>
      <c r="E35" s="12">
        <f>IF($B35="","",SUMIFS('仕入れ判定'!$X$6:$X$505,'仕入れ判定'!$E$6:$E$505,$B35,'仕入れ判定'!$AA$6:$AA$505,1))</f>
        <v/>
      </c>
      <c r="F35" s="13">
        <f>IF(OR($B35="",N(D35)=0),"",E35/D35)</f>
        <v/>
      </c>
    </row>
    <row r="37">
      <c r="A37" s="2" t="inlineStr">
        <is>
          <t>減額率が高い買取店は、梱包の見直しか、送り先の変更を検討する。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2026-09-23T08:53:36Z</dcterms:created>
  <dcterms:modified xsi:type="dcterms:W3CDTF">2026-09-23T08:53:36Z</dcterms:modified>
</cp:coreProperties>
</file>