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設定" sheetId="2" state="visible" r:id="rId2"/>
    <sheet name="商品" sheetId="3" state="visible" r:id="rId3"/>
    <sheet name="週次" sheetId="4" state="visible" r:id="rId4"/>
    <sheet name="月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[Red]-0.0%;&quot;-&quot;"/>
    <numFmt numFmtId="165" formatCode="#,##0;[Red]-#,##0;&quot;-&quot;"/>
    <numFmt numFmtId="166" formatCode="yyyy/mm/dd"/>
    <numFmt numFmtId="167" formatCode="yyyy-mm-dd"/>
    <numFmt numFmtId="168" formatCode="yyyy年m月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</font>
    <font>
      <name val="Yu Gothic"/>
      <b val="1"/>
    </font>
    <font>
      <name val="Yu Gothic"/>
      <color rgb="000000FF"/>
    </font>
    <font>
      <name val="Yu Gothic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0F6B52"/>
      </patternFill>
    </fill>
    <fill>
      <patternFill patternType="solid">
        <fgColor rgb="005B636E"/>
      </patternFill>
    </fill>
  </fills>
  <borders count="2">
    <border>
      <left/>
      <right/>
      <top/>
      <bottom/>
      <diagonal/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2" borderId="1" pivotButton="0" quotePrefix="0" xfId="0"/>
    <xf numFmtId="166" fontId="4" fillId="2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2" borderId="1" pivotButton="0" quotePrefix="0" xfId="0"/>
    <xf numFmtId="1" fontId="4" fillId="2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8" fontId="4" fillId="2" borderId="1" pivotButton="0" quotePrefix="0" xfId="0"/>
    <xf numFmtId="3" fontId="2" fillId="0" borderId="1" pivotButton="0" quotePrefix="0" xfId="0"/>
    <xf numFmtId="168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 販売 KPI 記録表</t>
        </is>
      </c>
    </row>
    <row r="2">
      <c r="A2" s="2" t="inlineStr"/>
    </row>
    <row r="3">
      <c r="A3" s="2" t="inlineStr">
        <is>
          <t>黄色のセル（青い文字）だけ入力します。ほかは自動で計算されます。</t>
        </is>
      </c>
    </row>
    <row r="4">
      <c r="A4" s="3" t="inlineStr">
        <is>
          <t>1. 商品シート：note に公開したら、公開日と価格を入れる（値上げしたら価格を書き換える）</t>
        </is>
      </c>
    </row>
    <row r="5">
      <c r="A5" s="3" t="inlineStr">
        <is>
          <t>2. 週次シート：毎週、商品ごとに1行。note のダッシュボードの「記事ごとのビュー」と、売上履歴の購入数を入れる</t>
        </is>
      </c>
    </row>
    <row r="6">
      <c r="A6" s="3" t="inlineStr">
        <is>
          <t>3. 月次シート：月末に、フォロワー数・全体ビュー・メンバー数を入れる。単品の売上は週次から自動で集計される</t>
        </is>
      </c>
    </row>
    <row r="7">
      <c r="A7" s="2" t="inlineStr"/>
    </row>
    <row r="8">
      <c r="A8" s="3" t="inlineStr">
        <is>
          <t>見方</t>
        </is>
      </c>
    </row>
    <row r="9">
      <c r="A9" s="2" t="inlineStr">
        <is>
          <t>・購入率＝購入数 ÷ 有料記事のビュー。1%未満なら無料部分（何が手に入るか）を直す。2%以上なら値上げを検討する</t>
        </is>
      </c>
    </row>
    <row r="10">
      <c r="A10" s="2" t="inlineStr">
        <is>
          <t>・高評価率＝高評価 ÷ 購入数。40%未満なら、無料部分の説明と中身のズレを疑う</t>
        </is>
      </c>
    </row>
    <row r="11">
      <c r="A11" s="2" t="inlineStr">
        <is>
          <t>・手取りは設定シートの手取り率（初期値：カード決済の85.5%）で見積もる。実際の入金額は note の売上管理で確認する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2" max="2"/>
    <col width="14" customWidth="1" min="3" max="3"/>
    <col width="90" customWidth="1" min="4" max="4"/>
  </cols>
  <sheetData>
    <row r="1">
      <c r="A1" s="1" t="inlineStr">
        <is>
          <t>設定</t>
        </is>
      </c>
    </row>
    <row r="4">
      <c r="B4" s="3" t="inlineStr">
        <is>
          <t>手取り率</t>
        </is>
      </c>
      <c r="C4" s="4" t="n">
        <v>0.855</v>
      </c>
      <c r="D4" s="2" t="inlineStr">
        <is>
          <t>クレジットカード決済：事務手数料5%＋残額にプラットフォーム利用料10%。キャリア決済が多いと下がる</t>
        </is>
      </c>
    </row>
    <row r="5">
      <c r="B5" s="3" t="inlineStr">
        <is>
          <t>目標（手取り・月）</t>
        </is>
      </c>
      <c r="C5" s="5" t="n">
        <v>1000000</v>
      </c>
      <c r="D5" s="2" t="inlineStr">
        <is>
          <t>note/README.md の3章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1" customWidth="1" min="3" max="3"/>
    <col width="12" customWidth="1" min="4" max="4"/>
    <col width="50" customWidth="1" min="5" max="5"/>
  </cols>
  <sheetData>
    <row r="1">
      <c r="A1" s="1" t="inlineStr">
        <is>
          <t>商品一覧</t>
        </is>
      </c>
    </row>
    <row r="3" ht="32" customHeight="1">
      <c r="A3" s="6" t="inlineStr">
        <is>
          <t>ID</t>
        </is>
      </c>
      <c r="B3" s="6" t="inlineStr">
        <is>
          <t>商品名</t>
        </is>
      </c>
      <c r="C3" s="6" t="inlineStr">
        <is>
          <t>価格（円）</t>
        </is>
      </c>
      <c r="D3" s="6" t="inlineStr">
        <is>
          <t>公開日</t>
        </is>
      </c>
      <c r="E3" s="6" t="inlineStr">
        <is>
          <t>note の URL</t>
        </is>
      </c>
    </row>
    <row r="4">
      <c r="A4" s="7" t="inlineStr">
        <is>
          <t>P1</t>
        </is>
      </c>
      <c r="B4" s="7" t="inlineStr">
        <is>
          <t>買取せどりの仕入れ判定・入金管理シート</t>
        </is>
      </c>
      <c r="C4" s="5" t="n">
        <v>980</v>
      </c>
      <c r="D4" s="8" t="n"/>
      <c r="E4" s="7" t="n"/>
    </row>
    <row r="5">
      <c r="A5" s="7" t="inlineStr">
        <is>
          <t>P2</t>
        </is>
      </c>
      <c r="B5" s="7" t="inlineStr">
        <is>
          <t>Amazon物販 利益・現金・在庫の監査キット</t>
        </is>
      </c>
      <c r="C5" s="5" t="n">
        <v>2980</v>
      </c>
      <c r="D5" s="8" t="n"/>
      <c r="E5" s="7" t="n"/>
    </row>
    <row r="6">
      <c r="A6" s="7" t="inlineStr">
        <is>
          <t>P3</t>
        </is>
      </c>
      <c r="B6" s="7" t="inlineStr">
        <is>
          <t>中国OEM 見積比較・検品・補償交渉キット</t>
        </is>
      </c>
      <c r="C6" s="5" t="n">
        <v>4980</v>
      </c>
      <c r="D6" s="8" t="n"/>
      <c r="E6" s="7" t="n"/>
    </row>
    <row r="7">
      <c r="A7" s="7" t="inlineStr">
        <is>
          <t>P4</t>
        </is>
      </c>
      <c r="B7" s="7" t="inlineStr">
        <is>
          <t>新商品の GO／NO-GO 判定シート</t>
        </is>
      </c>
      <c r="C7" s="5" t="n">
        <v>2980</v>
      </c>
      <c r="D7" s="8" t="n"/>
      <c r="E7" s="7" t="n"/>
    </row>
    <row r="8">
      <c r="A8" s="7" t="inlineStr">
        <is>
          <t>P5</t>
        </is>
      </c>
      <c r="B8" s="7" t="inlineStr">
        <is>
          <t>物販の利益管理 完全パック</t>
        </is>
      </c>
      <c r="C8" s="5" t="n">
        <v>14800</v>
      </c>
      <c r="D8" s="8" t="n"/>
      <c r="E8" s="7" t="n"/>
    </row>
    <row r="9">
      <c r="A9" s="7" t="n"/>
      <c r="B9" s="7" t="n"/>
      <c r="C9" s="5" t="n"/>
      <c r="D9" s="8" t="n"/>
      <c r="E9" s="7" t="n"/>
    </row>
    <row r="10">
      <c r="A10" s="7" t="n"/>
      <c r="B10" s="7" t="n"/>
      <c r="C10" s="5" t="n"/>
      <c r="D10" s="8" t="n"/>
      <c r="E10" s="7" t="n"/>
    </row>
    <row r="11">
      <c r="A11" s="7" t="n"/>
      <c r="B11" s="7" t="n"/>
      <c r="C11" s="5" t="n"/>
      <c r="D11" s="8" t="n"/>
      <c r="E11" s="7" t="n"/>
    </row>
    <row r="12">
      <c r="A12" s="7" t="n"/>
      <c r="B12" s="7" t="n"/>
      <c r="C12" s="5" t="n"/>
      <c r="D12" s="8" t="n"/>
      <c r="E12" s="7" t="n"/>
    </row>
    <row r="13">
      <c r="A13" s="7" t="n"/>
      <c r="B13" s="7" t="n"/>
      <c r="C13" s="5" t="n"/>
      <c r="D13" s="8" t="n"/>
      <c r="E13" s="7" t="n"/>
    </row>
    <row r="14">
      <c r="A14" s="7" t="n"/>
      <c r="B14" s="7" t="n"/>
      <c r="C14" s="5" t="n"/>
      <c r="D14" s="8" t="n"/>
      <c r="E14" s="7" t="n"/>
    </row>
    <row r="15">
      <c r="A15" s="7" t="n"/>
      <c r="B15" s="7" t="n"/>
      <c r="C15" s="5" t="n"/>
      <c r="D15" s="8" t="n"/>
      <c r="E15" s="7" t="n"/>
    </row>
    <row r="16">
      <c r="A16" s="7" t="n"/>
      <c r="B16" s="7" t="n"/>
      <c r="C16" s="5" t="n"/>
      <c r="D16" s="8" t="n"/>
      <c r="E16" s="7" t="n"/>
    </row>
    <row r="17">
      <c r="A17" s="7" t="n"/>
      <c r="B17" s="7" t="n"/>
      <c r="C17" s="5" t="n"/>
      <c r="D17" s="8" t="n"/>
      <c r="E17" s="7" t="n"/>
    </row>
    <row r="18">
      <c r="A18" s="7" t="n"/>
      <c r="B18" s="7" t="n"/>
      <c r="C18" s="5" t="n"/>
      <c r="D18" s="8" t="n"/>
      <c r="E18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1" customWidth="1" min="8" max="8"/>
    <col width="12" customWidth="1" min="9" max="9"/>
    <col width="9" customWidth="1" min="10" max="10"/>
    <col width="9" customWidth="1" min="11" max="11"/>
  </cols>
  <sheetData>
    <row r="1">
      <c r="A1" s="1" t="inlineStr">
        <is>
          <t>週次の記録（商品ごとに1行）</t>
        </is>
      </c>
    </row>
    <row r="2">
      <c r="A2" t="inlineStr">
        <is>
          <t>記入例の1行は消してかまいません。</t>
        </is>
      </c>
    </row>
    <row r="4" ht="32" customHeight="1">
      <c r="A4" s="6" t="inlineStr">
        <is>
          <t>週の開始日</t>
        </is>
      </c>
      <c r="B4" s="6" t="inlineStr">
        <is>
          <t>商品ID</t>
        </is>
      </c>
      <c r="C4" s="6" t="inlineStr">
        <is>
          <t>有料記事
ビュー</t>
        </is>
      </c>
      <c r="D4" s="6" t="inlineStr">
        <is>
          <t>購入数</t>
        </is>
      </c>
      <c r="E4" s="6" t="inlineStr">
        <is>
          <t>高評価</t>
        </is>
      </c>
      <c r="F4" s="6" t="inlineStr">
        <is>
          <t>返金</t>
        </is>
      </c>
      <c r="G4" s="9" t="inlineStr">
        <is>
          <t>価格</t>
        </is>
      </c>
      <c r="H4" s="9" t="inlineStr">
        <is>
          <t>売上</t>
        </is>
      </c>
      <c r="I4" s="9" t="inlineStr">
        <is>
          <t>手取り見込み</t>
        </is>
      </c>
      <c r="J4" s="9" t="inlineStr">
        <is>
          <t>購入率</t>
        </is>
      </c>
      <c r="K4" s="9" t="inlineStr">
        <is>
          <t>高評価率</t>
        </is>
      </c>
    </row>
    <row r="5">
      <c r="A5" s="8" t="n">
        <v>46293</v>
      </c>
      <c r="B5" s="7" t="inlineStr">
        <is>
          <t>P1</t>
        </is>
      </c>
      <c r="C5" s="10" t="n">
        <v>300</v>
      </c>
      <c r="D5" s="11" t="n">
        <v>3</v>
      </c>
      <c r="E5" s="11" t="n">
        <v>1</v>
      </c>
      <c r="F5" s="11" t="n">
        <v>0</v>
      </c>
      <c r="G5" s="12">
        <f>IF($B5="","",IFERROR(INDEX('商品'!$C$4:$C$18,MATCH($B5,'商品'!$A$4:$A$18,0)),""))</f>
        <v/>
      </c>
      <c r="H5" s="12">
        <f>IF(OR($B5="",$G5=""),"",$G5*(N($D5)-N($F5)))</f>
        <v/>
      </c>
      <c r="I5" s="12">
        <f>IF($H5="","",$H5*'設定'!$C$4)</f>
        <v/>
      </c>
      <c r="J5" s="13">
        <f>IF(N($C5)=0,"",N($D5)/$C5)</f>
        <v/>
      </c>
      <c r="K5" s="13">
        <f>IF(N($D5)=0,"",N($E5)/$D5)</f>
        <v/>
      </c>
    </row>
    <row r="6">
      <c r="A6" s="8" t="n"/>
      <c r="B6" s="7" t="n"/>
      <c r="C6" s="10" t="n"/>
      <c r="D6" s="11" t="n"/>
      <c r="E6" s="11" t="n"/>
      <c r="F6" s="11" t="n"/>
      <c r="G6" s="12">
        <f>IF($B6="","",IFERROR(INDEX('商品'!$C$4:$C$18,MATCH($B6,'商品'!$A$4:$A$18,0)),""))</f>
        <v/>
      </c>
      <c r="H6" s="12">
        <f>IF(OR($B6="",$G6=""),"",$G6*(N($D6)-N($F6)))</f>
        <v/>
      </c>
      <c r="I6" s="12">
        <f>IF($H6="","",$H6*'設定'!$C$4)</f>
        <v/>
      </c>
      <c r="J6" s="13">
        <f>IF(N($C6)=0,"",N($D6)/$C6)</f>
        <v/>
      </c>
      <c r="K6" s="13">
        <f>IF(N($D6)=0,"",N($E6)/$D6)</f>
        <v/>
      </c>
    </row>
    <row r="7">
      <c r="A7" s="8" t="n"/>
      <c r="B7" s="7" t="n"/>
      <c r="C7" s="10" t="n"/>
      <c r="D7" s="11" t="n"/>
      <c r="E7" s="11" t="n"/>
      <c r="F7" s="11" t="n"/>
      <c r="G7" s="12">
        <f>IF($B7="","",IFERROR(INDEX('商品'!$C$4:$C$18,MATCH($B7,'商品'!$A$4:$A$18,0)),""))</f>
        <v/>
      </c>
      <c r="H7" s="12">
        <f>IF(OR($B7="",$G7=""),"",$G7*(N($D7)-N($F7)))</f>
        <v/>
      </c>
      <c r="I7" s="12">
        <f>IF($H7="","",$H7*'設定'!$C$4)</f>
        <v/>
      </c>
      <c r="J7" s="13">
        <f>IF(N($C7)=0,"",N($D7)/$C7)</f>
        <v/>
      </c>
      <c r="K7" s="13">
        <f>IF(N($D7)=0,"",N($E7)/$D7)</f>
        <v/>
      </c>
    </row>
    <row r="8">
      <c r="A8" s="8" t="n"/>
      <c r="B8" s="7" t="n"/>
      <c r="C8" s="10" t="n"/>
      <c r="D8" s="11" t="n"/>
      <c r="E8" s="11" t="n"/>
      <c r="F8" s="11" t="n"/>
      <c r="G8" s="12">
        <f>IF($B8="","",IFERROR(INDEX('商品'!$C$4:$C$18,MATCH($B8,'商品'!$A$4:$A$18,0)),""))</f>
        <v/>
      </c>
      <c r="H8" s="12">
        <f>IF(OR($B8="",$G8=""),"",$G8*(N($D8)-N($F8)))</f>
        <v/>
      </c>
      <c r="I8" s="12">
        <f>IF($H8="","",$H8*'設定'!$C$4)</f>
        <v/>
      </c>
      <c r="J8" s="13">
        <f>IF(N($C8)=0,"",N($D8)/$C8)</f>
        <v/>
      </c>
      <c r="K8" s="13">
        <f>IF(N($D8)=0,"",N($E8)/$D8)</f>
        <v/>
      </c>
    </row>
    <row r="9">
      <c r="A9" s="8" t="n"/>
      <c r="B9" s="7" t="n"/>
      <c r="C9" s="10" t="n"/>
      <c r="D9" s="11" t="n"/>
      <c r="E9" s="11" t="n"/>
      <c r="F9" s="11" t="n"/>
      <c r="G9" s="12">
        <f>IF($B9="","",IFERROR(INDEX('商品'!$C$4:$C$18,MATCH($B9,'商品'!$A$4:$A$18,0)),""))</f>
        <v/>
      </c>
      <c r="H9" s="12">
        <f>IF(OR($B9="",$G9=""),"",$G9*(N($D9)-N($F9)))</f>
        <v/>
      </c>
      <c r="I9" s="12">
        <f>IF($H9="","",$H9*'設定'!$C$4)</f>
        <v/>
      </c>
      <c r="J9" s="13">
        <f>IF(N($C9)=0,"",N($D9)/$C9)</f>
        <v/>
      </c>
      <c r="K9" s="13">
        <f>IF(N($D9)=0,"",N($E9)/$D9)</f>
        <v/>
      </c>
    </row>
    <row r="10">
      <c r="A10" s="8" t="n"/>
      <c r="B10" s="7" t="n"/>
      <c r="C10" s="10" t="n"/>
      <c r="D10" s="11" t="n"/>
      <c r="E10" s="11" t="n"/>
      <c r="F10" s="11" t="n"/>
      <c r="G10" s="12">
        <f>IF($B10="","",IFERROR(INDEX('商品'!$C$4:$C$18,MATCH($B10,'商品'!$A$4:$A$18,0)),""))</f>
        <v/>
      </c>
      <c r="H10" s="12">
        <f>IF(OR($B10="",$G10=""),"",$G10*(N($D10)-N($F10)))</f>
        <v/>
      </c>
      <c r="I10" s="12">
        <f>IF($H10="","",$H10*'設定'!$C$4)</f>
        <v/>
      </c>
      <c r="J10" s="13">
        <f>IF(N($C10)=0,"",N($D10)/$C10)</f>
        <v/>
      </c>
      <c r="K10" s="13">
        <f>IF(N($D10)=0,"",N($E10)/$D10)</f>
        <v/>
      </c>
    </row>
    <row r="11">
      <c r="A11" s="8" t="n"/>
      <c r="B11" s="7" t="n"/>
      <c r="C11" s="10" t="n"/>
      <c r="D11" s="11" t="n"/>
      <c r="E11" s="11" t="n"/>
      <c r="F11" s="11" t="n"/>
      <c r="G11" s="12">
        <f>IF($B11="","",IFERROR(INDEX('商品'!$C$4:$C$18,MATCH($B11,'商品'!$A$4:$A$18,0)),""))</f>
        <v/>
      </c>
      <c r="H11" s="12">
        <f>IF(OR($B11="",$G11=""),"",$G11*(N($D11)-N($F11)))</f>
        <v/>
      </c>
      <c r="I11" s="12">
        <f>IF($H11="","",$H11*'設定'!$C$4)</f>
        <v/>
      </c>
      <c r="J11" s="13">
        <f>IF(N($C11)=0,"",N($D11)/$C11)</f>
        <v/>
      </c>
      <c r="K11" s="13">
        <f>IF(N($D11)=0,"",N($E11)/$D11)</f>
        <v/>
      </c>
    </row>
    <row r="12">
      <c r="A12" s="8" t="n"/>
      <c r="B12" s="7" t="n"/>
      <c r="C12" s="10" t="n"/>
      <c r="D12" s="11" t="n"/>
      <c r="E12" s="11" t="n"/>
      <c r="F12" s="11" t="n"/>
      <c r="G12" s="12">
        <f>IF($B12="","",IFERROR(INDEX('商品'!$C$4:$C$18,MATCH($B12,'商品'!$A$4:$A$18,0)),""))</f>
        <v/>
      </c>
      <c r="H12" s="12">
        <f>IF(OR($B12="",$G12=""),"",$G12*(N($D12)-N($F12)))</f>
        <v/>
      </c>
      <c r="I12" s="12">
        <f>IF($H12="","",$H12*'設定'!$C$4)</f>
        <v/>
      </c>
      <c r="J12" s="13">
        <f>IF(N($C12)=0,"",N($D12)/$C12)</f>
        <v/>
      </c>
      <c r="K12" s="13">
        <f>IF(N($D12)=0,"",N($E12)/$D12)</f>
        <v/>
      </c>
    </row>
    <row r="13">
      <c r="A13" s="8" t="n"/>
      <c r="B13" s="7" t="n"/>
      <c r="C13" s="10" t="n"/>
      <c r="D13" s="11" t="n"/>
      <c r="E13" s="11" t="n"/>
      <c r="F13" s="11" t="n"/>
      <c r="G13" s="12">
        <f>IF($B13="","",IFERROR(INDEX('商品'!$C$4:$C$18,MATCH($B13,'商品'!$A$4:$A$18,0)),""))</f>
        <v/>
      </c>
      <c r="H13" s="12">
        <f>IF(OR($B13="",$G13=""),"",$G13*(N($D13)-N($F13)))</f>
        <v/>
      </c>
      <c r="I13" s="12">
        <f>IF($H13="","",$H13*'設定'!$C$4)</f>
        <v/>
      </c>
      <c r="J13" s="13">
        <f>IF(N($C13)=0,"",N($D13)/$C13)</f>
        <v/>
      </c>
      <c r="K13" s="13">
        <f>IF(N($D13)=0,"",N($E13)/$D13)</f>
        <v/>
      </c>
    </row>
    <row r="14">
      <c r="A14" s="8" t="n"/>
      <c r="B14" s="7" t="n"/>
      <c r="C14" s="10" t="n"/>
      <c r="D14" s="11" t="n"/>
      <c r="E14" s="11" t="n"/>
      <c r="F14" s="11" t="n"/>
      <c r="G14" s="12">
        <f>IF($B14="","",IFERROR(INDEX('商品'!$C$4:$C$18,MATCH($B14,'商品'!$A$4:$A$18,0)),""))</f>
        <v/>
      </c>
      <c r="H14" s="12">
        <f>IF(OR($B14="",$G14=""),"",$G14*(N($D14)-N($F14)))</f>
        <v/>
      </c>
      <c r="I14" s="12">
        <f>IF($H14="","",$H14*'設定'!$C$4)</f>
        <v/>
      </c>
      <c r="J14" s="13">
        <f>IF(N($C14)=0,"",N($D14)/$C14)</f>
        <v/>
      </c>
      <c r="K14" s="13">
        <f>IF(N($D14)=0,"",N($E14)/$D14)</f>
        <v/>
      </c>
    </row>
    <row r="15">
      <c r="A15" s="8" t="n"/>
      <c r="B15" s="7" t="n"/>
      <c r="C15" s="10" t="n"/>
      <c r="D15" s="11" t="n"/>
      <c r="E15" s="11" t="n"/>
      <c r="F15" s="11" t="n"/>
      <c r="G15" s="12">
        <f>IF($B15="","",IFERROR(INDEX('商品'!$C$4:$C$18,MATCH($B15,'商品'!$A$4:$A$18,0)),""))</f>
        <v/>
      </c>
      <c r="H15" s="12">
        <f>IF(OR($B15="",$G15=""),"",$G15*(N($D15)-N($F15)))</f>
        <v/>
      </c>
      <c r="I15" s="12">
        <f>IF($H15="","",$H15*'設定'!$C$4)</f>
        <v/>
      </c>
      <c r="J15" s="13">
        <f>IF(N($C15)=0,"",N($D15)/$C15)</f>
        <v/>
      </c>
      <c r="K15" s="13">
        <f>IF(N($D15)=0,"",N($E15)/$D15)</f>
        <v/>
      </c>
    </row>
    <row r="16">
      <c r="A16" s="8" t="n"/>
      <c r="B16" s="7" t="n"/>
      <c r="C16" s="10" t="n"/>
      <c r="D16" s="11" t="n"/>
      <c r="E16" s="11" t="n"/>
      <c r="F16" s="11" t="n"/>
      <c r="G16" s="12">
        <f>IF($B16="","",IFERROR(INDEX('商品'!$C$4:$C$18,MATCH($B16,'商品'!$A$4:$A$18,0)),""))</f>
        <v/>
      </c>
      <c r="H16" s="12">
        <f>IF(OR($B16="",$G16=""),"",$G16*(N($D16)-N($F16)))</f>
        <v/>
      </c>
      <c r="I16" s="12">
        <f>IF($H16="","",$H16*'設定'!$C$4)</f>
        <v/>
      </c>
      <c r="J16" s="13">
        <f>IF(N($C16)=0,"",N($D16)/$C16)</f>
        <v/>
      </c>
      <c r="K16" s="13">
        <f>IF(N($D16)=0,"",N($E16)/$D16)</f>
        <v/>
      </c>
    </row>
    <row r="17">
      <c r="A17" s="8" t="n"/>
      <c r="B17" s="7" t="n"/>
      <c r="C17" s="10" t="n"/>
      <c r="D17" s="11" t="n"/>
      <c r="E17" s="11" t="n"/>
      <c r="F17" s="11" t="n"/>
      <c r="G17" s="12">
        <f>IF($B17="","",IFERROR(INDEX('商品'!$C$4:$C$18,MATCH($B17,'商品'!$A$4:$A$18,0)),""))</f>
        <v/>
      </c>
      <c r="H17" s="12">
        <f>IF(OR($B17="",$G17=""),"",$G17*(N($D17)-N($F17)))</f>
        <v/>
      </c>
      <c r="I17" s="12">
        <f>IF($H17="","",$H17*'設定'!$C$4)</f>
        <v/>
      </c>
      <c r="J17" s="13">
        <f>IF(N($C17)=0,"",N($D17)/$C17)</f>
        <v/>
      </c>
      <c r="K17" s="13">
        <f>IF(N($D17)=0,"",N($E17)/$D17)</f>
        <v/>
      </c>
    </row>
    <row r="18">
      <c r="A18" s="8" t="n"/>
      <c r="B18" s="7" t="n"/>
      <c r="C18" s="10" t="n"/>
      <c r="D18" s="11" t="n"/>
      <c r="E18" s="11" t="n"/>
      <c r="F18" s="11" t="n"/>
      <c r="G18" s="12">
        <f>IF($B18="","",IFERROR(INDEX('商品'!$C$4:$C$18,MATCH($B18,'商品'!$A$4:$A$18,0)),""))</f>
        <v/>
      </c>
      <c r="H18" s="12">
        <f>IF(OR($B18="",$G18=""),"",$G18*(N($D18)-N($F18)))</f>
        <v/>
      </c>
      <c r="I18" s="12">
        <f>IF($H18="","",$H18*'設定'!$C$4)</f>
        <v/>
      </c>
      <c r="J18" s="13">
        <f>IF(N($C18)=0,"",N($D18)/$C18)</f>
        <v/>
      </c>
      <c r="K18" s="13">
        <f>IF(N($D18)=0,"",N($E18)/$D18)</f>
        <v/>
      </c>
    </row>
    <row r="19">
      <c r="A19" s="8" t="n"/>
      <c r="B19" s="7" t="n"/>
      <c r="C19" s="10" t="n"/>
      <c r="D19" s="11" t="n"/>
      <c r="E19" s="11" t="n"/>
      <c r="F19" s="11" t="n"/>
      <c r="G19" s="12">
        <f>IF($B19="","",IFERROR(INDEX('商品'!$C$4:$C$18,MATCH($B19,'商品'!$A$4:$A$18,0)),""))</f>
        <v/>
      </c>
      <c r="H19" s="12">
        <f>IF(OR($B19="",$G19=""),"",$G19*(N($D19)-N($F19)))</f>
        <v/>
      </c>
      <c r="I19" s="12">
        <f>IF($H19="","",$H19*'設定'!$C$4)</f>
        <v/>
      </c>
      <c r="J19" s="13">
        <f>IF(N($C19)=0,"",N($D19)/$C19)</f>
        <v/>
      </c>
      <c r="K19" s="13">
        <f>IF(N($D19)=0,"",N($E19)/$D19)</f>
        <v/>
      </c>
    </row>
    <row r="20">
      <c r="A20" s="8" t="n"/>
      <c r="B20" s="7" t="n"/>
      <c r="C20" s="10" t="n"/>
      <c r="D20" s="11" t="n"/>
      <c r="E20" s="11" t="n"/>
      <c r="F20" s="11" t="n"/>
      <c r="G20" s="12">
        <f>IF($B20="","",IFERROR(INDEX('商品'!$C$4:$C$18,MATCH($B20,'商品'!$A$4:$A$18,0)),""))</f>
        <v/>
      </c>
      <c r="H20" s="12">
        <f>IF(OR($B20="",$G20=""),"",$G20*(N($D20)-N($F20)))</f>
        <v/>
      </c>
      <c r="I20" s="12">
        <f>IF($H20="","",$H20*'設定'!$C$4)</f>
        <v/>
      </c>
      <c r="J20" s="13">
        <f>IF(N($C20)=0,"",N($D20)/$C20)</f>
        <v/>
      </c>
      <c r="K20" s="13">
        <f>IF(N($D20)=0,"",N($E20)/$D20)</f>
        <v/>
      </c>
    </row>
    <row r="21">
      <c r="A21" s="8" t="n"/>
      <c r="B21" s="7" t="n"/>
      <c r="C21" s="10" t="n"/>
      <c r="D21" s="11" t="n"/>
      <c r="E21" s="11" t="n"/>
      <c r="F21" s="11" t="n"/>
      <c r="G21" s="12">
        <f>IF($B21="","",IFERROR(INDEX('商品'!$C$4:$C$18,MATCH($B21,'商品'!$A$4:$A$18,0)),""))</f>
        <v/>
      </c>
      <c r="H21" s="12">
        <f>IF(OR($B21="",$G21=""),"",$G21*(N($D21)-N($F21)))</f>
        <v/>
      </c>
      <c r="I21" s="12">
        <f>IF($H21="","",$H21*'設定'!$C$4)</f>
        <v/>
      </c>
      <c r="J21" s="13">
        <f>IF(N($C21)=0,"",N($D21)/$C21)</f>
        <v/>
      </c>
      <c r="K21" s="13">
        <f>IF(N($D21)=0,"",N($E21)/$D21)</f>
        <v/>
      </c>
    </row>
    <row r="22">
      <c r="A22" s="8" t="n"/>
      <c r="B22" s="7" t="n"/>
      <c r="C22" s="10" t="n"/>
      <c r="D22" s="11" t="n"/>
      <c r="E22" s="11" t="n"/>
      <c r="F22" s="11" t="n"/>
      <c r="G22" s="12">
        <f>IF($B22="","",IFERROR(INDEX('商品'!$C$4:$C$18,MATCH($B22,'商品'!$A$4:$A$18,0)),""))</f>
        <v/>
      </c>
      <c r="H22" s="12">
        <f>IF(OR($B22="",$G22=""),"",$G22*(N($D22)-N($F22)))</f>
        <v/>
      </c>
      <c r="I22" s="12">
        <f>IF($H22="","",$H22*'設定'!$C$4)</f>
        <v/>
      </c>
      <c r="J22" s="13">
        <f>IF(N($C22)=0,"",N($D22)/$C22)</f>
        <v/>
      </c>
      <c r="K22" s="13">
        <f>IF(N($D22)=0,"",N($E22)/$D22)</f>
        <v/>
      </c>
    </row>
    <row r="23">
      <c r="A23" s="8" t="n"/>
      <c r="B23" s="7" t="n"/>
      <c r="C23" s="10" t="n"/>
      <c r="D23" s="11" t="n"/>
      <c r="E23" s="11" t="n"/>
      <c r="F23" s="11" t="n"/>
      <c r="G23" s="12">
        <f>IF($B23="","",IFERROR(INDEX('商品'!$C$4:$C$18,MATCH($B23,'商品'!$A$4:$A$18,0)),""))</f>
        <v/>
      </c>
      <c r="H23" s="12">
        <f>IF(OR($B23="",$G23=""),"",$G23*(N($D23)-N($F23)))</f>
        <v/>
      </c>
      <c r="I23" s="12">
        <f>IF($H23="","",$H23*'設定'!$C$4)</f>
        <v/>
      </c>
      <c r="J23" s="13">
        <f>IF(N($C23)=0,"",N($D23)/$C23)</f>
        <v/>
      </c>
      <c r="K23" s="13">
        <f>IF(N($D23)=0,"",N($E23)/$D23)</f>
        <v/>
      </c>
    </row>
    <row r="24">
      <c r="A24" s="8" t="n"/>
      <c r="B24" s="7" t="n"/>
      <c r="C24" s="10" t="n"/>
      <c r="D24" s="11" t="n"/>
      <c r="E24" s="11" t="n"/>
      <c r="F24" s="11" t="n"/>
      <c r="G24" s="12">
        <f>IF($B24="","",IFERROR(INDEX('商品'!$C$4:$C$18,MATCH($B24,'商品'!$A$4:$A$18,0)),""))</f>
        <v/>
      </c>
      <c r="H24" s="12">
        <f>IF(OR($B24="",$G24=""),"",$G24*(N($D24)-N($F24)))</f>
        <v/>
      </c>
      <c r="I24" s="12">
        <f>IF($H24="","",$H24*'設定'!$C$4)</f>
        <v/>
      </c>
      <c r="J24" s="13">
        <f>IF(N($C24)=0,"",N($D24)/$C24)</f>
        <v/>
      </c>
      <c r="K24" s="13">
        <f>IF(N($D24)=0,"",N($E24)/$D24)</f>
        <v/>
      </c>
    </row>
    <row r="25">
      <c r="A25" s="8" t="n"/>
      <c r="B25" s="7" t="n"/>
      <c r="C25" s="10" t="n"/>
      <c r="D25" s="11" t="n"/>
      <c r="E25" s="11" t="n"/>
      <c r="F25" s="11" t="n"/>
      <c r="G25" s="12">
        <f>IF($B25="","",IFERROR(INDEX('商品'!$C$4:$C$18,MATCH($B25,'商品'!$A$4:$A$18,0)),""))</f>
        <v/>
      </c>
      <c r="H25" s="12">
        <f>IF(OR($B25="",$G25=""),"",$G25*(N($D25)-N($F25)))</f>
        <v/>
      </c>
      <c r="I25" s="12">
        <f>IF($H25="","",$H25*'設定'!$C$4)</f>
        <v/>
      </c>
      <c r="J25" s="13">
        <f>IF(N($C25)=0,"",N($D25)/$C25)</f>
        <v/>
      </c>
      <c r="K25" s="13">
        <f>IF(N($D25)=0,"",N($E25)/$D25)</f>
        <v/>
      </c>
    </row>
    <row r="26">
      <c r="A26" s="8" t="n"/>
      <c r="B26" s="7" t="n"/>
      <c r="C26" s="10" t="n"/>
      <c r="D26" s="11" t="n"/>
      <c r="E26" s="11" t="n"/>
      <c r="F26" s="11" t="n"/>
      <c r="G26" s="12">
        <f>IF($B26="","",IFERROR(INDEX('商品'!$C$4:$C$18,MATCH($B26,'商品'!$A$4:$A$18,0)),""))</f>
        <v/>
      </c>
      <c r="H26" s="12">
        <f>IF(OR($B26="",$G26=""),"",$G26*(N($D26)-N($F26)))</f>
        <v/>
      </c>
      <c r="I26" s="12">
        <f>IF($H26="","",$H26*'設定'!$C$4)</f>
        <v/>
      </c>
      <c r="J26" s="13">
        <f>IF(N($C26)=0,"",N($D26)/$C26)</f>
        <v/>
      </c>
      <c r="K26" s="13">
        <f>IF(N($D26)=0,"",N($E26)/$D26)</f>
        <v/>
      </c>
    </row>
    <row r="27">
      <c r="A27" s="8" t="n"/>
      <c r="B27" s="7" t="n"/>
      <c r="C27" s="10" t="n"/>
      <c r="D27" s="11" t="n"/>
      <c r="E27" s="11" t="n"/>
      <c r="F27" s="11" t="n"/>
      <c r="G27" s="12">
        <f>IF($B27="","",IFERROR(INDEX('商品'!$C$4:$C$18,MATCH($B27,'商品'!$A$4:$A$18,0)),""))</f>
        <v/>
      </c>
      <c r="H27" s="12">
        <f>IF(OR($B27="",$G27=""),"",$G27*(N($D27)-N($F27)))</f>
        <v/>
      </c>
      <c r="I27" s="12">
        <f>IF($H27="","",$H27*'設定'!$C$4)</f>
        <v/>
      </c>
      <c r="J27" s="13">
        <f>IF(N($C27)=0,"",N($D27)/$C27)</f>
        <v/>
      </c>
      <c r="K27" s="13">
        <f>IF(N($D27)=0,"",N($E27)/$D27)</f>
        <v/>
      </c>
    </row>
    <row r="28">
      <c r="A28" s="8" t="n"/>
      <c r="B28" s="7" t="n"/>
      <c r="C28" s="10" t="n"/>
      <c r="D28" s="11" t="n"/>
      <c r="E28" s="11" t="n"/>
      <c r="F28" s="11" t="n"/>
      <c r="G28" s="12">
        <f>IF($B28="","",IFERROR(INDEX('商品'!$C$4:$C$18,MATCH($B28,'商品'!$A$4:$A$18,0)),""))</f>
        <v/>
      </c>
      <c r="H28" s="12">
        <f>IF(OR($B28="",$G28=""),"",$G28*(N($D28)-N($F28)))</f>
        <v/>
      </c>
      <c r="I28" s="12">
        <f>IF($H28="","",$H28*'設定'!$C$4)</f>
        <v/>
      </c>
      <c r="J28" s="13">
        <f>IF(N($C28)=0,"",N($D28)/$C28)</f>
        <v/>
      </c>
      <c r="K28" s="13">
        <f>IF(N($D28)=0,"",N($E28)/$D28)</f>
        <v/>
      </c>
    </row>
    <row r="29">
      <c r="A29" s="8" t="n"/>
      <c r="B29" s="7" t="n"/>
      <c r="C29" s="10" t="n"/>
      <c r="D29" s="11" t="n"/>
      <c r="E29" s="11" t="n"/>
      <c r="F29" s="11" t="n"/>
      <c r="G29" s="12">
        <f>IF($B29="","",IFERROR(INDEX('商品'!$C$4:$C$18,MATCH($B29,'商品'!$A$4:$A$18,0)),""))</f>
        <v/>
      </c>
      <c r="H29" s="12">
        <f>IF(OR($B29="",$G29=""),"",$G29*(N($D29)-N($F29)))</f>
        <v/>
      </c>
      <c r="I29" s="12">
        <f>IF($H29="","",$H29*'設定'!$C$4)</f>
        <v/>
      </c>
      <c r="J29" s="13">
        <f>IF(N($C29)=0,"",N($D29)/$C29)</f>
        <v/>
      </c>
      <c r="K29" s="13">
        <f>IF(N($D29)=0,"",N($E29)/$D29)</f>
        <v/>
      </c>
    </row>
    <row r="30">
      <c r="A30" s="8" t="n"/>
      <c r="B30" s="7" t="n"/>
      <c r="C30" s="10" t="n"/>
      <c r="D30" s="11" t="n"/>
      <c r="E30" s="11" t="n"/>
      <c r="F30" s="11" t="n"/>
      <c r="G30" s="12">
        <f>IF($B30="","",IFERROR(INDEX('商品'!$C$4:$C$18,MATCH($B30,'商品'!$A$4:$A$18,0)),""))</f>
        <v/>
      </c>
      <c r="H30" s="12">
        <f>IF(OR($B30="",$G30=""),"",$G30*(N($D30)-N($F30)))</f>
        <v/>
      </c>
      <c r="I30" s="12">
        <f>IF($H30="","",$H30*'設定'!$C$4)</f>
        <v/>
      </c>
      <c r="J30" s="13">
        <f>IF(N($C30)=0,"",N($D30)/$C30)</f>
        <v/>
      </c>
      <c r="K30" s="13">
        <f>IF(N($D30)=0,"",N($E30)/$D30)</f>
        <v/>
      </c>
    </row>
    <row r="31">
      <c r="A31" s="8" t="n"/>
      <c r="B31" s="7" t="n"/>
      <c r="C31" s="10" t="n"/>
      <c r="D31" s="11" t="n"/>
      <c r="E31" s="11" t="n"/>
      <c r="F31" s="11" t="n"/>
      <c r="G31" s="12">
        <f>IF($B31="","",IFERROR(INDEX('商品'!$C$4:$C$18,MATCH($B31,'商品'!$A$4:$A$18,0)),""))</f>
        <v/>
      </c>
      <c r="H31" s="12">
        <f>IF(OR($B31="",$G31=""),"",$G31*(N($D31)-N($F31)))</f>
        <v/>
      </c>
      <c r="I31" s="12">
        <f>IF($H31="","",$H31*'設定'!$C$4)</f>
        <v/>
      </c>
      <c r="J31" s="13">
        <f>IF(N($C31)=0,"",N($D31)/$C31)</f>
        <v/>
      </c>
      <c r="K31" s="13">
        <f>IF(N($D31)=0,"",N($E31)/$D31)</f>
        <v/>
      </c>
    </row>
    <row r="32">
      <c r="A32" s="8" t="n"/>
      <c r="B32" s="7" t="n"/>
      <c r="C32" s="10" t="n"/>
      <c r="D32" s="11" t="n"/>
      <c r="E32" s="11" t="n"/>
      <c r="F32" s="11" t="n"/>
      <c r="G32" s="12">
        <f>IF($B32="","",IFERROR(INDEX('商品'!$C$4:$C$18,MATCH($B32,'商品'!$A$4:$A$18,0)),""))</f>
        <v/>
      </c>
      <c r="H32" s="12">
        <f>IF(OR($B32="",$G32=""),"",$G32*(N($D32)-N($F32)))</f>
        <v/>
      </c>
      <c r="I32" s="12">
        <f>IF($H32="","",$H32*'設定'!$C$4)</f>
        <v/>
      </c>
      <c r="J32" s="13">
        <f>IF(N($C32)=0,"",N($D32)/$C32)</f>
        <v/>
      </c>
      <c r="K32" s="13">
        <f>IF(N($D32)=0,"",N($E32)/$D32)</f>
        <v/>
      </c>
    </row>
    <row r="33">
      <c r="A33" s="8" t="n"/>
      <c r="B33" s="7" t="n"/>
      <c r="C33" s="10" t="n"/>
      <c r="D33" s="11" t="n"/>
      <c r="E33" s="11" t="n"/>
      <c r="F33" s="11" t="n"/>
      <c r="G33" s="12">
        <f>IF($B33="","",IFERROR(INDEX('商品'!$C$4:$C$18,MATCH($B33,'商品'!$A$4:$A$18,0)),""))</f>
        <v/>
      </c>
      <c r="H33" s="12">
        <f>IF(OR($B33="",$G33=""),"",$G33*(N($D33)-N($F33)))</f>
        <v/>
      </c>
      <c r="I33" s="12">
        <f>IF($H33="","",$H33*'設定'!$C$4)</f>
        <v/>
      </c>
      <c r="J33" s="13">
        <f>IF(N($C33)=0,"",N($D33)/$C33)</f>
        <v/>
      </c>
      <c r="K33" s="13">
        <f>IF(N($D33)=0,"",N($E33)/$D33)</f>
        <v/>
      </c>
    </row>
    <row r="34">
      <c r="A34" s="8" t="n"/>
      <c r="B34" s="7" t="n"/>
      <c r="C34" s="10" t="n"/>
      <c r="D34" s="11" t="n"/>
      <c r="E34" s="11" t="n"/>
      <c r="F34" s="11" t="n"/>
      <c r="G34" s="12">
        <f>IF($B34="","",IFERROR(INDEX('商品'!$C$4:$C$18,MATCH($B34,'商品'!$A$4:$A$18,0)),""))</f>
        <v/>
      </c>
      <c r="H34" s="12">
        <f>IF(OR($B34="",$G34=""),"",$G34*(N($D34)-N($F34)))</f>
        <v/>
      </c>
      <c r="I34" s="12">
        <f>IF($H34="","",$H34*'設定'!$C$4)</f>
        <v/>
      </c>
      <c r="J34" s="13">
        <f>IF(N($C34)=0,"",N($D34)/$C34)</f>
        <v/>
      </c>
      <c r="K34" s="13">
        <f>IF(N($D34)=0,"",N($E34)/$D34)</f>
        <v/>
      </c>
    </row>
    <row r="35">
      <c r="A35" s="8" t="n"/>
      <c r="B35" s="7" t="n"/>
      <c r="C35" s="10" t="n"/>
      <c r="D35" s="11" t="n"/>
      <c r="E35" s="11" t="n"/>
      <c r="F35" s="11" t="n"/>
      <c r="G35" s="12">
        <f>IF($B35="","",IFERROR(INDEX('商品'!$C$4:$C$18,MATCH($B35,'商品'!$A$4:$A$18,0)),""))</f>
        <v/>
      </c>
      <c r="H35" s="12">
        <f>IF(OR($B35="",$G35=""),"",$G35*(N($D35)-N($F35)))</f>
        <v/>
      </c>
      <c r="I35" s="12">
        <f>IF($H35="","",$H35*'設定'!$C$4)</f>
        <v/>
      </c>
      <c r="J35" s="13">
        <f>IF(N($C35)=0,"",N($D35)/$C35)</f>
        <v/>
      </c>
      <c r="K35" s="13">
        <f>IF(N($D35)=0,"",N($E35)/$D35)</f>
        <v/>
      </c>
    </row>
    <row r="36">
      <c r="A36" s="8" t="n"/>
      <c r="B36" s="7" t="n"/>
      <c r="C36" s="10" t="n"/>
      <c r="D36" s="11" t="n"/>
      <c r="E36" s="11" t="n"/>
      <c r="F36" s="11" t="n"/>
      <c r="G36" s="12">
        <f>IF($B36="","",IFERROR(INDEX('商品'!$C$4:$C$18,MATCH($B36,'商品'!$A$4:$A$18,0)),""))</f>
        <v/>
      </c>
      <c r="H36" s="12">
        <f>IF(OR($B36="",$G36=""),"",$G36*(N($D36)-N($F36)))</f>
        <v/>
      </c>
      <c r="I36" s="12">
        <f>IF($H36="","",$H36*'設定'!$C$4)</f>
        <v/>
      </c>
      <c r="J36" s="13">
        <f>IF(N($C36)=0,"",N($D36)/$C36)</f>
        <v/>
      </c>
      <c r="K36" s="13">
        <f>IF(N($D36)=0,"",N($E36)/$D36)</f>
        <v/>
      </c>
    </row>
    <row r="37">
      <c r="A37" s="8" t="n"/>
      <c r="B37" s="7" t="n"/>
      <c r="C37" s="10" t="n"/>
      <c r="D37" s="11" t="n"/>
      <c r="E37" s="11" t="n"/>
      <c r="F37" s="11" t="n"/>
      <c r="G37" s="12">
        <f>IF($B37="","",IFERROR(INDEX('商品'!$C$4:$C$18,MATCH($B37,'商品'!$A$4:$A$18,0)),""))</f>
        <v/>
      </c>
      <c r="H37" s="12">
        <f>IF(OR($B37="",$G37=""),"",$G37*(N($D37)-N($F37)))</f>
        <v/>
      </c>
      <c r="I37" s="12">
        <f>IF($H37="","",$H37*'設定'!$C$4)</f>
        <v/>
      </c>
      <c r="J37" s="13">
        <f>IF(N($C37)=0,"",N($D37)/$C37)</f>
        <v/>
      </c>
      <c r="K37" s="13">
        <f>IF(N($D37)=0,"",N($E37)/$D37)</f>
        <v/>
      </c>
    </row>
    <row r="38">
      <c r="A38" s="8" t="n"/>
      <c r="B38" s="7" t="n"/>
      <c r="C38" s="10" t="n"/>
      <c r="D38" s="11" t="n"/>
      <c r="E38" s="11" t="n"/>
      <c r="F38" s="11" t="n"/>
      <c r="G38" s="12">
        <f>IF($B38="","",IFERROR(INDEX('商品'!$C$4:$C$18,MATCH($B38,'商品'!$A$4:$A$18,0)),""))</f>
        <v/>
      </c>
      <c r="H38" s="12">
        <f>IF(OR($B38="",$G38=""),"",$G38*(N($D38)-N($F38)))</f>
        <v/>
      </c>
      <c r="I38" s="12">
        <f>IF($H38="","",$H38*'設定'!$C$4)</f>
        <v/>
      </c>
      <c r="J38" s="13">
        <f>IF(N($C38)=0,"",N($D38)/$C38)</f>
        <v/>
      </c>
      <c r="K38" s="13">
        <f>IF(N($D38)=0,"",N($E38)/$D38)</f>
        <v/>
      </c>
    </row>
    <row r="39">
      <c r="A39" s="8" t="n"/>
      <c r="B39" s="7" t="n"/>
      <c r="C39" s="10" t="n"/>
      <c r="D39" s="11" t="n"/>
      <c r="E39" s="11" t="n"/>
      <c r="F39" s="11" t="n"/>
      <c r="G39" s="12">
        <f>IF($B39="","",IFERROR(INDEX('商品'!$C$4:$C$18,MATCH($B39,'商品'!$A$4:$A$18,0)),""))</f>
        <v/>
      </c>
      <c r="H39" s="12">
        <f>IF(OR($B39="",$G39=""),"",$G39*(N($D39)-N($F39)))</f>
        <v/>
      </c>
      <c r="I39" s="12">
        <f>IF($H39="","",$H39*'設定'!$C$4)</f>
        <v/>
      </c>
      <c r="J39" s="13">
        <f>IF(N($C39)=0,"",N($D39)/$C39)</f>
        <v/>
      </c>
      <c r="K39" s="13">
        <f>IF(N($D39)=0,"",N($E39)/$D39)</f>
        <v/>
      </c>
    </row>
    <row r="40">
      <c r="A40" s="8" t="n"/>
      <c r="B40" s="7" t="n"/>
      <c r="C40" s="10" t="n"/>
      <c r="D40" s="11" t="n"/>
      <c r="E40" s="11" t="n"/>
      <c r="F40" s="11" t="n"/>
      <c r="G40" s="12">
        <f>IF($B40="","",IFERROR(INDEX('商品'!$C$4:$C$18,MATCH($B40,'商品'!$A$4:$A$18,0)),""))</f>
        <v/>
      </c>
      <c r="H40" s="12">
        <f>IF(OR($B40="",$G40=""),"",$G40*(N($D40)-N($F40)))</f>
        <v/>
      </c>
      <c r="I40" s="12">
        <f>IF($H40="","",$H40*'設定'!$C$4)</f>
        <v/>
      </c>
      <c r="J40" s="13">
        <f>IF(N($C40)=0,"",N($D40)/$C40)</f>
        <v/>
      </c>
      <c r="K40" s="13">
        <f>IF(N($D40)=0,"",N($E40)/$D40)</f>
        <v/>
      </c>
    </row>
    <row r="41">
      <c r="A41" s="8" t="n"/>
      <c r="B41" s="7" t="n"/>
      <c r="C41" s="10" t="n"/>
      <c r="D41" s="11" t="n"/>
      <c r="E41" s="11" t="n"/>
      <c r="F41" s="11" t="n"/>
      <c r="G41" s="12">
        <f>IF($B41="","",IFERROR(INDEX('商品'!$C$4:$C$18,MATCH($B41,'商品'!$A$4:$A$18,0)),""))</f>
        <v/>
      </c>
      <c r="H41" s="12">
        <f>IF(OR($B41="",$G41=""),"",$G41*(N($D41)-N($F41)))</f>
        <v/>
      </c>
      <c r="I41" s="12">
        <f>IF($H41="","",$H41*'設定'!$C$4)</f>
        <v/>
      </c>
      <c r="J41" s="13">
        <f>IF(N($C41)=0,"",N($D41)/$C41)</f>
        <v/>
      </c>
      <c r="K41" s="13">
        <f>IF(N($D41)=0,"",N($E41)/$D41)</f>
        <v/>
      </c>
    </row>
    <row r="42">
      <c r="A42" s="8" t="n"/>
      <c r="B42" s="7" t="n"/>
      <c r="C42" s="10" t="n"/>
      <c r="D42" s="11" t="n"/>
      <c r="E42" s="11" t="n"/>
      <c r="F42" s="11" t="n"/>
      <c r="G42" s="12">
        <f>IF($B42="","",IFERROR(INDEX('商品'!$C$4:$C$18,MATCH($B42,'商品'!$A$4:$A$18,0)),""))</f>
        <v/>
      </c>
      <c r="H42" s="12">
        <f>IF(OR($B42="",$G42=""),"",$G42*(N($D42)-N($F42)))</f>
        <v/>
      </c>
      <c r="I42" s="12">
        <f>IF($H42="","",$H42*'設定'!$C$4)</f>
        <v/>
      </c>
      <c r="J42" s="13">
        <f>IF(N($C42)=0,"",N($D42)/$C42)</f>
        <v/>
      </c>
      <c r="K42" s="13">
        <f>IF(N($D42)=0,"",N($E42)/$D42)</f>
        <v/>
      </c>
    </row>
    <row r="43">
      <c r="A43" s="8" t="n"/>
      <c r="B43" s="7" t="n"/>
      <c r="C43" s="10" t="n"/>
      <c r="D43" s="11" t="n"/>
      <c r="E43" s="11" t="n"/>
      <c r="F43" s="11" t="n"/>
      <c r="G43" s="12">
        <f>IF($B43="","",IFERROR(INDEX('商品'!$C$4:$C$18,MATCH($B43,'商品'!$A$4:$A$18,0)),""))</f>
        <v/>
      </c>
      <c r="H43" s="12">
        <f>IF(OR($B43="",$G43=""),"",$G43*(N($D43)-N($F43)))</f>
        <v/>
      </c>
      <c r="I43" s="12">
        <f>IF($H43="","",$H43*'設定'!$C$4)</f>
        <v/>
      </c>
      <c r="J43" s="13">
        <f>IF(N($C43)=0,"",N($D43)/$C43)</f>
        <v/>
      </c>
      <c r="K43" s="13">
        <f>IF(N($D43)=0,"",N($E43)/$D43)</f>
        <v/>
      </c>
    </row>
    <row r="44">
      <c r="A44" s="8" t="n"/>
      <c r="B44" s="7" t="n"/>
      <c r="C44" s="10" t="n"/>
      <c r="D44" s="11" t="n"/>
      <c r="E44" s="11" t="n"/>
      <c r="F44" s="11" t="n"/>
      <c r="G44" s="12">
        <f>IF($B44="","",IFERROR(INDEX('商品'!$C$4:$C$18,MATCH($B44,'商品'!$A$4:$A$18,0)),""))</f>
        <v/>
      </c>
      <c r="H44" s="12">
        <f>IF(OR($B44="",$G44=""),"",$G44*(N($D44)-N($F44)))</f>
        <v/>
      </c>
      <c r="I44" s="12">
        <f>IF($H44="","",$H44*'設定'!$C$4)</f>
        <v/>
      </c>
      <c r="J44" s="13">
        <f>IF(N($C44)=0,"",N($D44)/$C44)</f>
        <v/>
      </c>
      <c r="K44" s="13">
        <f>IF(N($D44)=0,"",N($E44)/$D44)</f>
        <v/>
      </c>
    </row>
    <row r="45">
      <c r="A45" s="8" t="n"/>
      <c r="B45" s="7" t="n"/>
      <c r="C45" s="10" t="n"/>
      <c r="D45" s="11" t="n"/>
      <c r="E45" s="11" t="n"/>
      <c r="F45" s="11" t="n"/>
      <c r="G45" s="12">
        <f>IF($B45="","",IFERROR(INDEX('商品'!$C$4:$C$18,MATCH($B45,'商品'!$A$4:$A$18,0)),""))</f>
        <v/>
      </c>
      <c r="H45" s="12">
        <f>IF(OR($B45="",$G45=""),"",$G45*(N($D45)-N($F45)))</f>
        <v/>
      </c>
      <c r="I45" s="12">
        <f>IF($H45="","",$H45*'設定'!$C$4)</f>
        <v/>
      </c>
      <c r="J45" s="13">
        <f>IF(N($C45)=0,"",N($D45)/$C45)</f>
        <v/>
      </c>
      <c r="K45" s="13">
        <f>IF(N($D45)=0,"",N($E45)/$D45)</f>
        <v/>
      </c>
    </row>
    <row r="46">
      <c r="A46" s="8" t="n"/>
      <c r="B46" s="7" t="n"/>
      <c r="C46" s="10" t="n"/>
      <c r="D46" s="11" t="n"/>
      <c r="E46" s="11" t="n"/>
      <c r="F46" s="11" t="n"/>
      <c r="G46" s="12">
        <f>IF($B46="","",IFERROR(INDEX('商品'!$C$4:$C$18,MATCH($B46,'商品'!$A$4:$A$18,0)),""))</f>
        <v/>
      </c>
      <c r="H46" s="12">
        <f>IF(OR($B46="",$G46=""),"",$G46*(N($D46)-N($F46)))</f>
        <v/>
      </c>
      <c r="I46" s="12">
        <f>IF($H46="","",$H46*'設定'!$C$4)</f>
        <v/>
      </c>
      <c r="J46" s="13">
        <f>IF(N($C46)=0,"",N($D46)/$C46)</f>
        <v/>
      </c>
      <c r="K46" s="13">
        <f>IF(N($D46)=0,"",N($E46)/$D46)</f>
        <v/>
      </c>
    </row>
    <row r="47">
      <c r="A47" s="8" t="n"/>
      <c r="B47" s="7" t="n"/>
      <c r="C47" s="10" t="n"/>
      <c r="D47" s="11" t="n"/>
      <c r="E47" s="11" t="n"/>
      <c r="F47" s="11" t="n"/>
      <c r="G47" s="12">
        <f>IF($B47="","",IFERROR(INDEX('商品'!$C$4:$C$18,MATCH($B47,'商品'!$A$4:$A$18,0)),""))</f>
        <v/>
      </c>
      <c r="H47" s="12">
        <f>IF(OR($B47="",$G47=""),"",$G47*(N($D47)-N($F47)))</f>
        <v/>
      </c>
      <c r="I47" s="12">
        <f>IF($H47="","",$H47*'設定'!$C$4)</f>
        <v/>
      </c>
      <c r="J47" s="13">
        <f>IF(N($C47)=0,"",N($D47)/$C47)</f>
        <v/>
      </c>
      <c r="K47" s="13">
        <f>IF(N($D47)=0,"",N($E47)/$D47)</f>
        <v/>
      </c>
    </row>
    <row r="48">
      <c r="A48" s="8" t="n"/>
      <c r="B48" s="7" t="n"/>
      <c r="C48" s="10" t="n"/>
      <c r="D48" s="11" t="n"/>
      <c r="E48" s="11" t="n"/>
      <c r="F48" s="11" t="n"/>
      <c r="G48" s="12">
        <f>IF($B48="","",IFERROR(INDEX('商品'!$C$4:$C$18,MATCH($B48,'商品'!$A$4:$A$18,0)),""))</f>
        <v/>
      </c>
      <c r="H48" s="12">
        <f>IF(OR($B48="",$G48=""),"",$G48*(N($D48)-N($F48)))</f>
        <v/>
      </c>
      <c r="I48" s="12">
        <f>IF($H48="","",$H48*'設定'!$C$4)</f>
        <v/>
      </c>
      <c r="J48" s="13">
        <f>IF(N($C48)=0,"",N($D48)/$C48)</f>
        <v/>
      </c>
      <c r="K48" s="13">
        <f>IF(N($D48)=0,"",N($E48)/$D48)</f>
        <v/>
      </c>
    </row>
    <row r="49">
      <c r="A49" s="8" t="n"/>
      <c r="B49" s="7" t="n"/>
      <c r="C49" s="10" t="n"/>
      <c r="D49" s="11" t="n"/>
      <c r="E49" s="11" t="n"/>
      <c r="F49" s="11" t="n"/>
      <c r="G49" s="12">
        <f>IF($B49="","",IFERROR(INDEX('商品'!$C$4:$C$18,MATCH($B49,'商品'!$A$4:$A$18,0)),""))</f>
        <v/>
      </c>
      <c r="H49" s="12">
        <f>IF(OR($B49="",$G49=""),"",$G49*(N($D49)-N($F49)))</f>
        <v/>
      </c>
      <c r="I49" s="12">
        <f>IF($H49="","",$H49*'設定'!$C$4)</f>
        <v/>
      </c>
      <c r="J49" s="13">
        <f>IF(N($C49)=0,"",N($D49)/$C49)</f>
        <v/>
      </c>
      <c r="K49" s="13">
        <f>IF(N($D49)=0,"",N($E49)/$D49)</f>
        <v/>
      </c>
    </row>
    <row r="50">
      <c r="A50" s="8" t="n"/>
      <c r="B50" s="7" t="n"/>
      <c r="C50" s="10" t="n"/>
      <c r="D50" s="11" t="n"/>
      <c r="E50" s="11" t="n"/>
      <c r="F50" s="11" t="n"/>
      <c r="G50" s="12">
        <f>IF($B50="","",IFERROR(INDEX('商品'!$C$4:$C$18,MATCH($B50,'商品'!$A$4:$A$18,0)),""))</f>
        <v/>
      </c>
      <c r="H50" s="12">
        <f>IF(OR($B50="",$G50=""),"",$G50*(N($D50)-N($F50)))</f>
        <v/>
      </c>
      <c r="I50" s="12">
        <f>IF($H50="","",$H50*'設定'!$C$4)</f>
        <v/>
      </c>
      <c r="J50" s="13">
        <f>IF(N($C50)=0,"",N($D50)/$C50)</f>
        <v/>
      </c>
      <c r="K50" s="13">
        <f>IF(N($D50)=0,"",N($E50)/$D50)</f>
        <v/>
      </c>
    </row>
    <row r="51">
      <c r="A51" s="8" t="n"/>
      <c r="B51" s="7" t="n"/>
      <c r="C51" s="10" t="n"/>
      <c r="D51" s="11" t="n"/>
      <c r="E51" s="11" t="n"/>
      <c r="F51" s="11" t="n"/>
      <c r="G51" s="12">
        <f>IF($B51="","",IFERROR(INDEX('商品'!$C$4:$C$18,MATCH($B51,'商品'!$A$4:$A$18,0)),""))</f>
        <v/>
      </c>
      <c r="H51" s="12">
        <f>IF(OR($B51="",$G51=""),"",$G51*(N($D51)-N($F51)))</f>
        <v/>
      </c>
      <c r="I51" s="12">
        <f>IF($H51="","",$H51*'設定'!$C$4)</f>
        <v/>
      </c>
      <c r="J51" s="13">
        <f>IF(N($C51)=0,"",N($D51)/$C51)</f>
        <v/>
      </c>
      <c r="K51" s="13">
        <f>IF(N($D51)=0,"",N($E51)/$D51)</f>
        <v/>
      </c>
    </row>
    <row r="52">
      <c r="A52" s="8" t="n"/>
      <c r="B52" s="7" t="n"/>
      <c r="C52" s="10" t="n"/>
      <c r="D52" s="11" t="n"/>
      <c r="E52" s="11" t="n"/>
      <c r="F52" s="11" t="n"/>
      <c r="G52" s="12">
        <f>IF($B52="","",IFERROR(INDEX('商品'!$C$4:$C$18,MATCH($B52,'商品'!$A$4:$A$18,0)),""))</f>
        <v/>
      </c>
      <c r="H52" s="12">
        <f>IF(OR($B52="",$G52=""),"",$G52*(N($D52)-N($F52)))</f>
        <v/>
      </c>
      <c r="I52" s="12">
        <f>IF($H52="","",$H52*'設定'!$C$4)</f>
        <v/>
      </c>
      <c r="J52" s="13">
        <f>IF(N($C52)=0,"",N($D52)/$C52)</f>
        <v/>
      </c>
      <c r="K52" s="13">
        <f>IF(N($D52)=0,"",N($E52)/$D52)</f>
        <v/>
      </c>
    </row>
    <row r="53">
      <c r="A53" s="8" t="n"/>
      <c r="B53" s="7" t="n"/>
      <c r="C53" s="10" t="n"/>
      <c r="D53" s="11" t="n"/>
      <c r="E53" s="11" t="n"/>
      <c r="F53" s="11" t="n"/>
      <c r="G53" s="12">
        <f>IF($B53="","",IFERROR(INDEX('商品'!$C$4:$C$18,MATCH($B53,'商品'!$A$4:$A$18,0)),""))</f>
        <v/>
      </c>
      <c r="H53" s="12">
        <f>IF(OR($B53="",$G53=""),"",$G53*(N($D53)-N($F53)))</f>
        <v/>
      </c>
      <c r="I53" s="12">
        <f>IF($H53="","",$H53*'設定'!$C$4)</f>
        <v/>
      </c>
      <c r="J53" s="13">
        <f>IF(N($C53)=0,"",N($D53)/$C53)</f>
        <v/>
      </c>
      <c r="K53" s="13">
        <f>IF(N($D53)=0,"",N($E53)/$D53)</f>
        <v/>
      </c>
    </row>
    <row r="54">
      <c r="A54" s="8" t="n"/>
      <c r="B54" s="7" t="n"/>
      <c r="C54" s="10" t="n"/>
      <c r="D54" s="11" t="n"/>
      <c r="E54" s="11" t="n"/>
      <c r="F54" s="11" t="n"/>
      <c r="G54" s="12">
        <f>IF($B54="","",IFERROR(INDEX('商品'!$C$4:$C$18,MATCH($B54,'商品'!$A$4:$A$18,0)),""))</f>
        <v/>
      </c>
      <c r="H54" s="12">
        <f>IF(OR($B54="",$G54=""),"",$G54*(N($D54)-N($F54)))</f>
        <v/>
      </c>
      <c r="I54" s="12">
        <f>IF($H54="","",$H54*'設定'!$C$4)</f>
        <v/>
      </c>
      <c r="J54" s="13">
        <f>IF(N($C54)=0,"",N($D54)/$C54)</f>
        <v/>
      </c>
      <c r="K54" s="13">
        <f>IF(N($D54)=0,"",N($E54)/$D54)</f>
        <v/>
      </c>
    </row>
    <row r="55">
      <c r="A55" s="8" t="n"/>
      <c r="B55" s="7" t="n"/>
      <c r="C55" s="10" t="n"/>
      <c r="D55" s="11" t="n"/>
      <c r="E55" s="11" t="n"/>
      <c r="F55" s="11" t="n"/>
      <c r="G55" s="12">
        <f>IF($B55="","",IFERROR(INDEX('商品'!$C$4:$C$18,MATCH($B55,'商品'!$A$4:$A$18,0)),""))</f>
        <v/>
      </c>
      <c r="H55" s="12">
        <f>IF(OR($B55="",$G55=""),"",$G55*(N($D55)-N($F55)))</f>
        <v/>
      </c>
      <c r="I55" s="12">
        <f>IF($H55="","",$H55*'設定'!$C$4)</f>
        <v/>
      </c>
      <c r="J55" s="13">
        <f>IF(N($C55)=0,"",N($D55)/$C55)</f>
        <v/>
      </c>
      <c r="K55" s="13">
        <f>IF(N($D55)=0,"",N($E55)/$D55)</f>
        <v/>
      </c>
    </row>
    <row r="56">
      <c r="A56" s="8" t="n"/>
      <c r="B56" s="7" t="n"/>
      <c r="C56" s="10" t="n"/>
      <c r="D56" s="11" t="n"/>
      <c r="E56" s="11" t="n"/>
      <c r="F56" s="11" t="n"/>
      <c r="G56" s="12">
        <f>IF($B56="","",IFERROR(INDEX('商品'!$C$4:$C$18,MATCH($B56,'商品'!$A$4:$A$18,0)),""))</f>
        <v/>
      </c>
      <c r="H56" s="12">
        <f>IF(OR($B56="",$G56=""),"",$G56*(N($D56)-N($F56)))</f>
        <v/>
      </c>
      <c r="I56" s="12">
        <f>IF($H56="","",$H56*'設定'!$C$4)</f>
        <v/>
      </c>
      <c r="J56" s="13">
        <f>IF(N($C56)=0,"",N($D56)/$C56)</f>
        <v/>
      </c>
      <c r="K56" s="13">
        <f>IF(N($D56)=0,"",N($E56)/$D56)</f>
        <v/>
      </c>
    </row>
    <row r="57">
      <c r="A57" s="8" t="n"/>
      <c r="B57" s="7" t="n"/>
      <c r="C57" s="10" t="n"/>
      <c r="D57" s="11" t="n"/>
      <c r="E57" s="11" t="n"/>
      <c r="F57" s="11" t="n"/>
      <c r="G57" s="12">
        <f>IF($B57="","",IFERROR(INDEX('商品'!$C$4:$C$18,MATCH($B57,'商品'!$A$4:$A$18,0)),""))</f>
        <v/>
      </c>
      <c r="H57" s="12">
        <f>IF(OR($B57="",$G57=""),"",$G57*(N($D57)-N($F57)))</f>
        <v/>
      </c>
      <c r="I57" s="12">
        <f>IF($H57="","",$H57*'設定'!$C$4)</f>
        <v/>
      </c>
      <c r="J57" s="13">
        <f>IF(N($C57)=0,"",N($D57)/$C57)</f>
        <v/>
      </c>
      <c r="K57" s="13">
        <f>IF(N($D57)=0,"",N($E57)/$D57)</f>
        <v/>
      </c>
    </row>
    <row r="58">
      <c r="A58" s="8" t="n"/>
      <c r="B58" s="7" t="n"/>
      <c r="C58" s="10" t="n"/>
      <c r="D58" s="11" t="n"/>
      <c r="E58" s="11" t="n"/>
      <c r="F58" s="11" t="n"/>
      <c r="G58" s="12">
        <f>IF($B58="","",IFERROR(INDEX('商品'!$C$4:$C$18,MATCH($B58,'商品'!$A$4:$A$18,0)),""))</f>
        <v/>
      </c>
      <c r="H58" s="12">
        <f>IF(OR($B58="",$G58=""),"",$G58*(N($D58)-N($F58)))</f>
        <v/>
      </c>
      <c r="I58" s="12">
        <f>IF($H58="","",$H58*'設定'!$C$4)</f>
        <v/>
      </c>
      <c r="J58" s="13">
        <f>IF(N($C58)=0,"",N($D58)/$C58)</f>
        <v/>
      </c>
      <c r="K58" s="13">
        <f>IF(N($D58)=0,"",N($E58)/$D58)</f>
        <v/>
      </c>
    </row>
    <row r="59">
      <c r="A59" s="8" t="n"/>
      <c r="B59" s="7" t="n"/>
      <c r="C59" s="10" t="n"/>
      <c r="D59" s="11" t="n"/>
      <c r="E59" s="11" t="n"/>
      <c r="F59" s="11" t="n"/>
      <c r="G59" s="12">
        <f>IF($B59="","",IFERROR(INDEX('商品'!$C$4:$C$18,MATCH($B59,'商品'!$A$4:$A$18,0)),""))</f>
        <v/>
      </c>
      <c r="H59" s="12">
        <f>IF(OR($B59="",$G59=""),"",$G59*(N($D59)-N($F59)))</f>
        <v/>
      </c>
      <c r="I59" s="12">
        <f>IF($H59="","",$H59*'設定'!$C$4)</f>
        <v/>
      </c>
      <c r="J59" s="13">
        <f>IF(N($C59)=0,"",N($D59)/$C59)</f>
        <v/>
      </c>
      <c r="K59" s="13">
        <f>IF(N($D59)=0,"",N($E59)/$D59)</f>
        <v/>
      </c>
    </row>
    <row r="60">
      <c r="A60" s="8" t="n"/>
      <c r="B60" s="7" t="n"/>
      <c r="C60" s="10" t="n"/>
      <c r="D60" s="11" t="n"/>
      <c r="E60" s="11" t="n"/>
      <c r="F60" s="11" t="n"/>
      <c r="G60" s="12">
        <f>IF($B60="","",IFERROR(INDEX('商品'!$C$4:$C$18,MATCH($B60,'商品'!$A$4:$A$18,0)),""))</f>
        <v/>
      </c>
      <c r="H60" s="12">
        <f>IF(OR($B60="",$G60=""),"",$G60*(N($D60)-N($F60)))</f>
        <v/>
      </c>
      <c r="I60" s="12">
        <f>IF($H60="","",$H60*'設定'!$C$4)</f>
        <v/>
      </c>
      <c r="J60" s="13">
        <f>IF(N($C60)=0,"",N($D60)/$C60)</f>
        <v/>
      </c>
      <c r="K60" s="13">
        <f>IF(N($D60)=0,"",N($E60)/$D60)</f>
        <v/>
      </c>
    </row>
    <row r="61">
      <c r="A61" s="8" t="n"/>
      <c r="B61" s="7" t="n"/>
      <c r="C61" s="10" t="n"/>
      <c r="D61" s="11" t="n"/>
      <c r="E61" s="11" t="n"/>
      <c r="F61" s="11" t="n"/>
      <c r="G61" s="12">
        <f>IF($B61="","",IFERROR(INDEX('商品'!$C$4:$C$18,MATCH($B61,'商品'!$A$4:$A$18,0)),""))</f>
        <v/>
      </c>
      <c r="H61" s="12">
        <f>IF(OR($B61="",$G61=""),"",$G61*(N($D61)-N($F61)))</f>
        <v/>
      </c>
      <c r="I61" s="12">
        <f>IF($H61="","",$H61*'設定'!$C$4)</f>
        <v/>
      </c>
      <c r="J61" s="13">
        <f>IF(N($C61)=0,"",N($D61)/$C61)</f>
        <v/>
      </c>
      <c r="K61" s="13">
        <f>IF(N($D61)=0,"",N($E61)/$D61)</f>
        <v/>
      </c>
    </row>
    <row r="62">
      <c r="A62" s="8" t="n"/>
      <c r="B62" s="7" t="n"/>
      <c r="C62" s="10" t="n"/>
      <c r="D62" s="11" t="n"/>
      <c r="E62" s="11" t="n"/>
      <c r="F62" s="11" t="n"/>
      <c r="G62" s="12">
        <f>IF($B62="","",IFERROR(INDEX('商品'!$C$4:$C$18,MATCH($B62,'商品'!$A$4:$A$18,0)),""))</f>
        <v/>
      </c>
      <c r="H62" s="12">
        <f>IF(OR($B62="",$G62=""),"",$G62*(N($D62)-N($F62)))</f>
        <v/>
      </c>
      <c r="I62" s="12">
        <f>IF($H62="","",$H62*'設定'!$C$4)</f>
        <v/>
      </c>
      <c r="J62" s="13">
        <f>IF(N($C62)=0,"",N($D62)/$C62)</f>
        <v/>
      </c>
      <c r="K62" s="13">
        <f>IF(N($D62)=0,"",N($E62)/$D62)</f>
        <v/>
      </c>
    </row>
    <row r="63">
      <c r="A63" s="8" t="n"/>
      <c r="B63" s="7" t="n"/>
      <c r="C63" s="10" t="n"/>
      <c r="D63" s="11" t="n"/>
      <c r="E63" s="11" t="n"/>
      <c r="F63" s="11" t="n"/>
      <c r="G63" s="12">
        <f>IF($B63="","",IFERROR(INDEX('商品'!$C$4:$C$18,MATCH($B63,'商品'!$A$4:$A$18,0)),""))</f>
        <v/>
      </c>
      <c r="H63" s="12">
        <f>IF(OR($B63="",$G63=""),"",$G63*(N($D63)-N($F63)))</f>
        <v/>
      </c>
      <c r="I63" s="12">
        <f>IF($H63="","",$H63*'設定'!$C$4)</f>
        <v/>
      </c>
      <c r="J63" s="13">
        <f>IF(N($C63)=0,"",N($D63)/$C63)</f>
        <v/>
      </c>
      <c r="K63" s="13">
        <f>IF(N($D63)=0,"",N($E63)/$D63)</f>
        <v/>
      </c>
    </row>
    <row r="64">
      <c r="A64" s="8" t="n"/>
      <c r="B64" s="7" t="n"/>
      <c r="C64" s="10" t="n"/>
      <c r="D64" s="11" t="n"/>
      <c r="E64" s="11" t="n"/>
      <c r="F64" s="11" t="n"/>
      <c r="G64" s="12">
        <f>IF($B64="","",IFERROR(INDEX('商品'!$C$4:$C$18,MATCH($B64,'商品'!$A$4:$A$18,0)),""))</f>
        <v/>
      </c>
      <c r="H64" s="12">
        <f>IF(OR($B64="",$G64=""),"",$G64*(N($D64)-N($F64)))</f>
        <v/>
      </c>
      <c r="I64" s="12">
        <f>IF($H64="","",$H64*'設定'!$C$4)</f>
        <v/>
      </c>
      <c r="J64" s="13">
        <f>IF(N($C64)=0,"",N($D64)/$C64)</f>
        <v/>
      </c>
      <c r="K64" s="13">
        <f>IF(N($D64)=0,"",N($E64)/$D64)</f>
        <v/>
      </c>
    </row>
    <row r="65">
      <c r="A65" s="8" t="n"/>
      <c r="B65" s="7" t="n"/>
      <c r="C65" s="10" t="n"/>
      <c r="D65" s="11" t="n"/>
      <c r="E65" s="11" t="n"/>
      <c r="F65" s="11" t="n"/>
      <c r="G65" s="12">
        <f>IF($B65="","",IFERROR(INDEX('商品'!$C$4:$C$18,MATCH($B65,'商品'!$A$4:$A$18,0)),""))</f>
        <v/>
      </c>
      <c r="H65" s="12">
        <f>IF(OR($B65="",$G65=""),"",$G65*(N($D65)-N($F65)))</f>
        <v/>
      </c>
      <c r="I65" s="12">
        <f>IF($H65="","",$H65*'設定'!$C$4)</f>
        <v/>
      </c>
      <c r="J65" s="13">
        <f>IF(N($C65)=0,"",N($D65)/$C65)</f>
        <v/>
      </c>
      <c r="K65" s="13">
        <f>IF(N($D65)=0,"",N($E65)/$D65)</f>
        <v/>
      </c>
    </row>
    <row r="66">
      <c r="A66" s="8" t="n"/>
      <c r="B66" s="7" t="n"/>
      <c r="C66" s="10" t="n"/>
      <c r="D66" s="11" t="n"/>
      <c r="E66" s="11" t="n"/>
      <c r="F66" s="11" t="n"/>
      <c r="G66" s="12">
        <f>IF($B66="","",IFERROR(INDEX('商品'!$C$4:$C$18,MATCH($B66,'商品'!$A$4:$A$18,0)),""))</f>
        <v/>
      </c>
      <c r="H66" s="12">
        <f>IF(OR($B66="",$G66=""),"",$G66*(N($D66)-N($F66)))</f>
        <v/>
      </c>
      <c r="I66" s="12">
        <f>IF($H66="","",$H66*'設定'!$C$4)</f>
        <v/>
      </c>
      <c r="J66" s="13">
        <f>IF(N($C66)=0,"",N($D66)/$C66)</f>
        <v/>
      </c>
      <c r="K66" s="13">
        <f>IF(N($D66)=0,"",N($E66)/$D66)</f>
        <v/>
      </c>
    </row>
    <row r="67">
      <c r="A67" s="8" t="n"/>
      <c r="B67" s="7" t="n"/>
      <c r="C67" s="10" t="n"/>
      <c r="D67" s="11" t="n"/>
      <c r="E67" s="11" t="n"/>
      <c r="F67" s="11" t="n"/>
      <c r="G67" s="12">
        <f>IF($B67="","",IFERROR(INDEX('商品'!$C$4:$C$18,MATCH($B67,'商品'!$A$4:$A$18,0)),""))</f>
        <v/>
      </c>
      <c r="H67" s="12">
        <f>IF(OR($B67="",$G67=""),"",$G67*(N($D67)-N($F67)))</f>
        <v/>
      </c>
      <c r="I67" s="12">
        <f>IF($H67="","",$H67*'設定'!$C$4)</f>
        <v/>
      </c>
      <c r="J67" s="13">
        <f>IF(N($C67)=0,"",N($D67)/$C67)</f>
        <v/>
      </c>
      <c r="K67" s="13">
        <f>IF(N($D67)=0,"",N($E67)/$D67)</f>
        <v/>
      </c>
    </row>
    <row r="68">
      <c r="A68" s="8" t="n"/>
      <c r="B68" s="7" t="n"/>
      <c r="C68" s="10" t="n"/>
      <c r="D68" s="11" t="n"/>
      <c r="E68" s="11" t="n"/>
      <c r="F68" s="11" t="n"/>
      <c r="G68" s="12">
        <f>IF($B68="","",IFERROR(INDEX('商品'!$C$4:$C$18,MATCH($B68,'商品'!$A$4:$A$18,0)),""))</f>
        <v/>
      </c>
      <c r="H68" s="12">
        <f>IF(OR($B68="",$G68=""),"",$G68*(N($D68)-N($F68)))</f>
        <v/>
      </c>
      <c r="I68" s="12">
        <f>IF($H68="","",$H68*'設定'!$C$4)</f>
        <v/>
      </c>
      <c r="J68" s="13">
        <f>IF(N($C68)=0,"",N($D68)/$C68)</f>
        <v/>
      </c>
      <c r="K68" s="13">
        <f>IF(N($D68)=0,"",N($E68)/$D68)</f>
        <v/>
      </c>
    </row>
    <row r="69">
      <c r="A69" s="8" t="n"/>
      <c r="B69" s="7" t="n"/>
      <c r="C69" s="10" t="n"/>
      <c r="D69" s="11" t="n"/>
      <c r="E69" s="11" t="n"/>
      <c r="F69" s="11" t="n"/>
      <c r="G69" s="12">
        <f>IF($B69="","",IFERROR(INDEX('商品'!$C$4:$C$18,MATCH($B69,'商品'!$A$4:$A$18,0)),""))</f>
        <v/>
      </c>
      <c r="H69" s="12">
        <f>IF(OR($B69="",$G69=""),"",$G69*(N($D69)-N($F69)))</f>
        <v/>
      </c>
      <c r="I69" s="12">
        <f>IF($H69="","",$H69*'設定'!$C$4)</f>
        <v/>
      </c>
      <c r="J69" s="13">
        <f>IF(N($C69)=0,"",N($D69)/$C69)</f>
        <v/>
      </c>
      <c r="K69" s="13">
        <f>IF(N($D69)=0,"",N($E69)/$D69)</f>
        <v/>
      </c>
    </row>
    <row r="70">
      <c r="A70" s="8" t="n"/>
      <c r="B70" s="7" t="n"/>
      <c r="C70" s="10" t="n"/>
      <c r="D70" s="11" t="n"/>
      <c r="E70" s="11" t="n"/>
      <c r="F70" s="11" t="n"/>
      <c r="G70" s="12">
        <f>IF($B70="","",IFERROR(INDEX('商品'!$C$4:$C$18,MATCH($B70,'商品'!$A$4:$A$18,0)),""))</f>
        <v/>
      </c>
      <c r="H70" s="12">
        <f>IF(OR($B70="",$G70=""),"",$G70*(N($D70)-N($F70)))</f>
        <v/>
      </c>
      <c r="I70" s="12">
        <f>IF($H70="","",$H70*'設定'!$C$4)</f>
        <v/>
      </c>
      <c r="J70" s="13">
        <f>IF(N($C70)=0,"",N($D70)/$C70)</f>
        <v/>
      </c>
      <c r="K70" s="13">
        <f>IF(N($D70)=0,"",N($E70)/$D70)</f>
        <v/>
      </c>
    </row>
    <row r="71">
      <c r="A71" s="8" t="n"/>
      <c r="B71" s="7" t="n"/>
      <c r="C71" s="10" t="n"/>
      <c r="D71" s="11" t="n"/>
      <c r="E71" s="11" t="n"/>
      <c r="F71" s="11" t="n"/>
      <c r="G71" s="12">
        <f>IF($B71="","",IFERROR(INDEX('商品'!$C$4:$C$18,MATCH($B71,'商品'!$A$4:$A$18,0)),""))</f>
        <v/>
      </c>
      <c r="H71" s="12">
        <f>IF(OR($B71="",$G71=""),"",$G71*(N($D71)-N($F71)))</f>
        <v/>
      </c>
      <c r="I71" s="12">
        <f>IF($H71="","",$H71*'設定'!$C$4)</f>
        <v/>
      </c>
      <c r="J71" s="13">
        <f>IF(N($C71)=0,"",N($D71)/$C71)</f>
        <v/>
      </c>
      <c r="K71" s="13">
        <f>IF(N($D71)=0,"",N($E71)/$D71)</f>
        <v/>
      </c>
    </row>
    <row r="72">
      <c r="A72" s="8" t="n"/>
      <c r="B72" s="7" t="n"/>
      <c r="C72" s="10" t="n"/>
      <c r="D72" s="11" t="n"/>
      <c r="E72" s="11" t="n"/>
      <c r="F72" s="11" t="n"/>
      <c r="G72" s="12">
        <f>IF($B72="","",IFERROR(INDEX('商品'!$C$4:$C$18,MATCH($B72,'商品'!$A$4:$A$18,0)),""))</f>
        <v/>
      </c>
      <c r="H72" s="12">
        <f>IF(OR($B72="",$G72=""),"",$G72*(N($D72)-N($F72)))</f>
        <v/>
      </c>
      <c r="I72" s="12">
        <f>IF($H72="","",$H72*'設定'!$C$4)</f>
        <v/>
      </c>
      <c r="J72" s="13">
        <f>IF(N($C72)=0,"",N($D72)/$C72)</f>
        <v/>
      </c>
      <c r="K72" s="13">
        <f>IF(N($D72)=0,"",N($E72)/$D72)</f>
        <v/>
      </c>
    </row>
    <row r="73">
      <c r="A73" s="8" t="n"/>
      <c r="B73" s="7" t="n"/>
      <c r="C73" s="10" t="n"/>
      <c r="D73" s="11" t="n"/>
      <c r="E73" s="11" t="n"/>
      <c r="F73" s="11" t="n"/>
      <c r="G73" s="12">
        <f>IF($B73="","",IFERROR(INDEX('商品'!$C$4:$C$18,MATCH($B73,'商品'!$A$4:$A$18,0)),""))</f>
        <v/>
      </c>
      <c r="H73" s="12">
        <f>IF(OR($B73="",$G73=""),"",$G73*(N($D73)-N($F73)))</f>
        <v/>
      </c>
      <c r="I73" s="12">
        <f>IF($H73="","",$H73*'設定'!$C$4)</f>
        <v/>
      </c>
      <c r="J73" s="13">
        <f>IF(N($C73)=0,"",N($D73)/$C73)</f>
        <v/>
      </c>
      <c r="K73" s="13">
        <f>IF(N($D73)=0,"",N($E73)/$D73)</f>
        <v/>
      </c>
    </row>
    <row r="74">
      <c r="A74" s="8" t="n"/>
      <c r="B74" s="7" t="n"/>
      <c r="C74" s="10" t="n"/>
      <c r="D74" s="11" t="n"/>
      <c r="E74" s="11" t="n"/>
      <c r="F74" s="11" t="n"/>
      <c r="G74" s="12">
        <f>IF($B74="","",IFERROR(INDEX('商品'!$C$4:$C$18,MATCH($B74,'商品'!$A$4:$A$18,0)),""))</f>
        <v/>
      </c>
      <c r="H74" s="12">
        <f>IF(OR($B74="",$G74=""),"",$G74*(N($D74)-N($F74)))</f>
        <v/>
      </c>
      <c r="I74" s="12">
        <f>IF($H74="","",$H74*'設定'!$C$4)</f>
        <v/>
      </c>
      <c r="J74" s="13">
        <f>IF(N($C74)=0,"",N($D74)/$C74)</f>
        <v/>
      </c>
      <c r="K74" s="13">
        <f>IF(N($D74)=0,"",N($E74)/$D74)</f>
        <v/>
      </c>
    </row>
    <row r="75">
      <c r="A75" s="8" t="n"/>
      <c r="B75" s="7" t="n"/>
      <c r="C75" s="10" t="n"/>
      <c r="D75" s="11" t="n"/>
      <c r="E75" s="11" t="n"/>
      <c r="F75" s="11" t="n"/>
      <c r="G75" s="12">
        <f>IF($B75="","",IFERROR(INDEX('商品'!$C$4:$C$18,MATCH($B75,'商品'!$A$4:$A$18,0)),""))</f>
        <v/>
      </c>
      <c r="H75" s="12">
        <f>IF(OR($B75="",$G75=""),"",$G75*(N($D75)-N($F75)))</f>
        <v/>
      </c>
      <c r="I75" s="12">
        <f>IF($H75="","",$H75*'設定'!$C$4)</f>
        <v/>
      </c>
      <c r="J75" s="13">
        <f>IF(N($C75)=0,"",N($D75)/$C75)</f>
        <v/>
      </c>
      <c r="K75" s="13">
        <f>IF(N($D75)=0,"",N($E75)/$D75)</f>
        <v/>
      </c>
    </row>
    <row r="76">
      <c r="A76" s="8" t="n"/>
      <c r="B76" s="7" t="n"/>
      <c r="C76" s="10" t="n"/>
      <c r="D76" s="11" t="n"/>
      <c r="E76" s="11" t="n"/>
      <c r="F76" s="11" t="n"/>
      <c r="G76" s="12">
        <f>IF($B76="","",IFERROR(INDEX('商品'!$C$4:$C$18,MATCH($B76,'商品'!$A$4:$A$18,0)),""))</f>
        <v/>
      </c>
      <c r="H76" s="12">
        <f>IF(OR($B76="",$G76=""),"",$G76*(N($D76)-N($F76)))</f>
        <v/>
      </c>
      <c r="I76" s="12">
        <f>IF($H76="","",$H76*'設定'!$C$4)</f>
        <v/>
      </c>
      <c r="J76" s="13">
        <f>IF(N($C76)=0,"",N($D76)/$C76)</f>
        <v/>
      </c>
      <c r="K76" s="13">
        <f>IF(N($D76)=0,"",N($E76)/$D76)</f>
        <v/>
      </c>
    </row>
    <row r="77">
      <c r="A77" s="8" t="n"/>
      <c r="B77" s="7" t="n"/>
      <c r="C77" s="10" t="n"/>
      <c r="D77" s="11" t="n"/>
      <c r="E77" s="11" t="n"/>
      <c r="F77" s="11" t="n"/>
      <c r="G77" s="12">
        <f>IF($B77="","",IFERROR(INDEX('商品'!$C$4:$C$18,MATCH($B77,'商品'!$A$4:$A$18,0)),""))</f>
        <v/>
      </c>
      <c r="H77" s="12">
        <f>IF(OR($B77="",$G77=""),"",$G77*(N($D77)-N($F77)))</f>
        <v/>
      </c>
      <c r="I77" s="12">
        <f>IF($H77="","",$H77*'設定'!$C$4)</f>
        <v/>
      </c>
      <c r="J77" s="13">
        <f>IF(N($C77)=0,"",N($D77)/$C77)</f>
        <v/>
      </c>
      <c r="K77" s="13">
        <f>IF(N($D77)=0,"",N($E77)/$D77)</f>
        <v/>
      </c>
    </row>
    <row r="78">
      <c r="A78" s="8" t="n"/>
      <c r="B78" s="7" t="n"/>
      <c r="C78" s="10" t="n"/>
      <c r="D78" s="11" t="n"/>
      <c r="E78" s="11" t="n"/>
      <c r="F78" s="11" t="n"/>
      <c r="G78" s="12">
        <f>IF($B78="","",IFERROR(INDEX('商品'!$C$4:$C$18,MATCH($B78,'商品'!$A$4:$A$18,0)),""))</f>
        <v/>
      </c>
      <c r="H78" s="12">
        <f>IF(OR($B78="",$G78=""),"",$G78*(N($D78)-N($F78)))</f>
        <v/>
      </c>
      <c r="I78" s="12">
        <f>IF($H78="","",$H78*'設定'!$C$4)</f>
        <v/>
      </c>
      <c r="J78" s="13">
        <f>IF(N($C78)=0,"",N($D78)/$C78)</f>
        <v/>
      </c>
      <c r="K78" s="13">
        <f>IF(N($D78)=0,"",N($E78)/$D78)</f>
        <v/>
      </c>
    </row>
    <row r="79">
      <c r="A79" s="8" t="n"/>
      <c r="B79" s="7" t="n"/>
      <c r="C79" s="10" t="n"/>
      <c r="D79" s="11" t="n"/>
      <c r="E79" s="11" t="n"/>
      <c r="F79" s="11" t="n"/>
      <c r="G79" s="12">
        <f>IF($B79="","",IFERROR(INDEX('商品'!$C$4:$C$18,MATCH($B79,'商品'!$A$4:$A$18,0)),""))</f>
        <v/>
      </c>
      <c r="H79" s="12">
        <f>IF(OR($B79="",$G79=""),"",$G79*(N($D79)-N($F79)))</f>
        <v/>
      </c>
      <c r="I79" s="12">
        <f>IF($H79="","",$H79*'設定'!$C$4)</f>
        <v/>
      </c>
      <c r="J79" s="13">
        <f>IF(N($C79)=0,"",N($D79)/$C79)</f>
        <v/>
      </c>
      <c r="K79" s="13">
        <f>IF(N($D79)=0,"",N($E79)/$D79)</f>
        <v/>
      </c>
    </row>
    <row r="80">
      <c r="A80" s="8" t="n"/>
      <c r="B80" s="7" t="n"/>
      <c r="C80" s="10" t="n"/>
      <c r="D80" s="11" t="n"/>
      <c r="E80" s="11" t="n"/>
      <c r="F80" s="11" t="n"/>
      <c r="G80" s="12">
        <f>IF($B80="","",IFERROR(INDEX('商品'!$C$4:$C$18,MATCH($B80,'商品'!$A$4:$A$18,0)),""))</f>
        <v/>
      </c>
      <c r="H80" s="12">
        <f>IF(OR($B80="",$G80=""),"",$G80*(N($D80)-N($F80)))</f>
        <v/>
      </c>
      <c r="I80" s="12">
        <f>IF($H80="","",$H80*'設定'!$C$4)</f>
        <v/>
      </c>
      <c r="J80" s="13">
        <f>IF(N($C80)=0,"",N($D80)/$C80)</f>
        <v/>
      </c>
      <c r="K80" s="13">
        <f>IF(N($D80)=0,"",N($E80)/$D80)</f>
        <v/>
      </c>
    </row>
    <row r="81">
      <c r="A81" s="8" t="n"/>
      <c r="B81" s="7" t="n"/>
      <c r="C81" s="10" t="n"/>
      <c r="D81" s="11" t="n"/>
      <c r="E81" s="11" t="n"/>
      <c r="F81" s="11" t="n"/>
      <c r="G81" s="12">
        <f>IF($B81="","",IFERROR(INDEX('商品'!$C$4:$C$18,MATCH($B81,'商品'!$A$4:$A$18,0)),""))</f>
        <v/>
      </c>
      <c r="H81" s="12">
        <f>IF(OR($B81="",$G81=""),"",$G81*(N($D81)-N($F81)))</f>
        <v/>
      </c>
      <c r="I81" s="12">
        <f>IF($H81="","",$H81*'設定'!$C$4)</f>
        <v/>
      </c>
      <c r="J81" s="13">
        <f>IF(N($C81)=0,"",N($D81)/$C81)</f>
        <v/>
      </c>
      <c r="K81" s="13">
        <f>IF(N($D81)=0,"",N($E81)/$D81)</f>
        <v/>
      </c>
    </row>
    <row r="82">
      <c r="A82" s="8" t="n"/>
      <c r="B82" s="7" t="n"/>
      <c r="C82" s="10" t="n"/>
      <c r="D82" s="11" t="n"/>
      <c r="E82" s="11" t="n"/>
      <c r="F82" s="11" t="n"/>
      <c r="G82" s="12">
        <f>IF($B82="","",IFERROR(INDEX('商品'!$C$4:$C$18,MATCH($B82,'商品'!$A$4:$A$18,0)),""))</f>
        <v/>
      </c>
      <c r="H82" s="12">
        <f>IF(OR($B82="",$G82=""),"",$G82*(N($D82)-N($F82)))</f>
        <v/>
      </c>
      <c r="I82" s="12">
        <f>IF($H82="","",$H82*'設定'!$C$4)</f>
        <v/>
      </c>
      <c r="J82" s="13">
        <f>IF(N($C82)=0,"",N($D82)/$C82)</f>
        <v/>
      </c>
      <c r="K82" s="13">
        <f>IF(N($D82)=0,"",N($E82)/$D82)</f>
        <v/>
      </c>
    </row>
    <row r="83">
      <c r="A83" s="8" t="n"/>
      <c r="B83" s="7" t="n"/>
      <c r="C83" s="10" t="n"/>
      <c r="D83" s="11" t="n"/>
      <c r="E83" s="11" t="n"/>
      <c r="F83" s="11" t="n"/>
      <c r="G83" s="12">
        <f>IF($B83="","",IFERROR(INDEX('商品'!$C$4:$C$18,MATCH($B83,'商品'!$A$4:$A$18,0)),""))</f>
        <v/>
      </c>
      <c r="H83" s="12">
        <f>IF(OR($B83="",$G83=""),"",$G83*(N($D83)-N($F83)))</f>
        <v/>
      </c>
      <c r="I83" s="12">
        <f>IF($H83="","",$H83*'設定'!$C$4)</f>
        <v/>
      </c>
      <c r="J83" s="13">
        <f>IF(N($C83)=0,"",N($D83)/$C83)</f>
        <v/>
      </c>
      <c r="K83" s="13">
        <f>IF(N($D83)=0,"",N($E83)/$D83)</f>
        <v/>
      </c>
    </row>
    <row r="84">
      <c r="A84" s="8" t="n"/>
      <c r="B84" s="7" t="n"/>
      <c r="C84" s="10" t="n"/>
      <c r="D84" s="11" t="n"/>
      <c r="E84" s="11" t="n"/>
      <c r="F84" s="11" t="n"/>
      <c r="G84" s="12">
        <f>IF($B84="","",IFERROR(INDEX('商品'!$C$4:$C$18,MATCH($B84,'商品'!$A$4:$A$18,0)),""))</f>
        <v/>
      </c>
      <c r="H84" s="12">
        <f>IF(OR($B84="",$G84=""),"",$G84*(N($D84)-N($F84)))</f>
        <v/>
      </c>
      <c r="I84" s="12">
        <f>IF($H84="","",$H84*'設定'!$C$4)</f>
        <v/>
      </c>
      <c r="J84" s="13">
        <f>IF(N($C84)=0,"",N($D84)/$C84)</f>
        <v/>
      </c>
      <c r="K84" s="13">
        <f>IF(N($D84)=0,"",N($E84)/$D84)</f>
        <v/>
      </c>
    </row>
    <row r="85">
      <c r="A85" s="8" t="n"/>
      <c r="B85" s="7" t="n"/>
      <c r="C85" s="10" t="n"/>
      <c r="D85" s="11" t="n"/>
      <c r="E85" s="11" t="n"/>
      <c r="F85" s="11" t="n"/>
      <c r="G85" s="12">
        <f>IF($B85="","",IFERROR(INDEX('商品'!$C$4:$C$18,MATCH($B85,'商品'!$A$4:$A$18,0)),""))</f>
        <v/>
      </c>
      <c r="H85" s="12">
        <f>IF(OR($B85="",$G85=""),"",$G85*(N($D85)-N($F85)))</f>
        <v/>
      </c>
      <c r="I85" s="12">
        <f>IF($H85="","",$H85*'設定'!$C$4)</f>
        <v/>
      </c>
      <c r="J85" s="13">
        <f>IF(N($C85)=0,"",N($D85)/$C85)</f>
        <v/>
      </c>
      <c r="K85" s="13">
        <f>IF(N($D85)=0,"",N($E85)/$D85)</f>
        <v/>
      </c>
    </row>
    <row r="86">
      <c r="A86" s="8" t="n"/>
      <c r="B86" s="7" t="n"/>
      <c r="C86" s="10" t="n"/>
      <c r="D86" s="11" t="n"/>
      <c r="E86" s="11" t="n"/>
      <c r="F86" s="11" t="n"/>
      <c r="G86" s="12">
        <f>IF($B86="","",IFERROR(INDEX('商品'!$C$4:$C$18,MATCH($B86,'商品'!$A$4:$A$18,0)),""))</f>
        <v/>
      </c>
      <c r="H86" s="12">
        <f>IF(OR($B86="",$G86=""),"",$G86*(N($D86)-N($F86)))</f>
        <v/>
      </c>
      <c r="I86" s="12">
        <f>IF($H86="","",$H86*'設定'!$C$4)</f>
        <v/>
      </c>
      <c r="J86" s="13">
        <f>IF(N($C86)=0,"",N($D86)/$C86)</f>
        <v/>
      </c>
      <c r="K86" s="13">
        <f>IF(N($D86)=0,"",N($E86)/$D86)</f>
        <v/>
      </c>
    </row>
    <row r="87">
      <c r="A87" s="8" t="n"/>
      <c r="B87" s="7" t="n"/>
      <c r="C87" s="10" t="n"/>
      <c r="D87" s="11" t="n"/>
      <c r="E87" s="11" t="n"/>
      <c r="F87" s="11" t="n"/>
      <c r="G87" s="12">
        <f>IF($B87="","",IFERROR(INDEX('商品'!$C$4:$C$18,MATCH($B87,'商品'!$A$4:$A$18,0)),""))</f>
        <v/>
      </c>
      <c r="H87" s="12">
        <f>IF(OR($B87="",$G87=""),"",$G87*(N($D87)-N($F87)))</f>
        <v/>
      </c>
      <c r="I87" s="12">
        <f>IF($H87="","",$H87*'設定'!$C$4)</f>
        <v/>
      </c>
      <c r="J87" s="13">
        <f>IF(N($C87)=0,"",N($D87)/$C87)</f>
        <v/>
      </c>
      <c r="K87" s="13">
        <f>IF(N($D87)=0,"",N($E87)/$D87)</f>
        <v/>
      </c>
    </row>
    <row r="88">
      <c r="A88" s="8" t="n"/>
      <c r="B88" s="7" t="n"/>
      <c r="C88" s="10" t="n"/>
      <c r="D88" s="11" t="n"/>
      <c r="E88" s="11" t="n"/>
      <c r="F88" s="11" t="n"/>
      <c r="G88" s="12">
        <f>IF($B88="","",IFERROR(INDEX('商品'!$C$4:$C$18,MATCH($B88,'商品'!$A$4:$A$18,0)),""))</f>
        <v/>
      </c>
      <c r="H88" s="12">
        <f>IF(OR($B88="",$G88=""),"",$G88*(N($D88)-N($F88)))</f>
        <v/>
      </c>
      <c r="I88" s="12">
        <f>IF($H88="","",$H88*'設定'!$C$4)</f>
        <v/>
      </c>
      <c r="J88" s="13">
        <f>IF(N($C88)=0,"",N($D88)/$C88)</f>
        <v/>
      </c>
      <c r="K88" s="13">
        <f>IF(N($D88)=0,"",N($E88)/$D88)</f>
        <v/>
      </c>
    </row>
    <row r="89">
      <c r="A89" s="8" t="n"/>
      <c r="B89" s="7" t="n"/>
      <c r="C89" s="10" t="n"/>
      <c r="D89" s="11" t="n"/>
      <c r="E89" s="11" t="n"/>
      <c r="F89" s="11" t="n"/>
      <c r="G89" s="12">
        <f>IF($B89="","",IFERROR(INDEX('商品'!$C$4:$C$18,MATCH($B89,'商品'!$A$4:$A$18,0)),""))</f>
        <v/>
      </c>
      <c r="H89" s="12">
        <f>IF(OR($B89="",$G89=""),"",$G89*(N($D89)-N($F89)))</f>
        <v/>
      </c>
      <c r="I89" s="12">
        <f>IF($H89="","",$H89*'設定'!$C$4)</f>
        <v/>
      </c>
      <c r="J89" s="13">
        <f>IF(N($C89)=0,"",N($D89)/$C89)</f>
        <v/>
      </c>
      <c r="K89" s="13">
        <f>IF(N($D89)=0,"",N($E89)/$D89)</f>
        <v/>
      </c>
    </row>
    <row r="90">
      <c r="A90" s="8" t="n"/>
      <c r="B90" s="7" t="n"/>
      <c r="C90" s="10" t="n"/>
      <c r="D90" s="11" t="n"/>
      <c r="E90" s="11" t="n"/>
      <c r="F90" s="11" t="n"/>
      <c r="G90" s="12">
        <f>IF($B90="","",IFERROR(INDEX('商品'!$C$4:$C$18,MATCH($B90,'商品'!$A$4:$A$18,0)),""))</f>
        <v/>
      </c>
      <c r="H90" s="12">
        <f>IF(OR($B90="",$G90=""),"",$G90*(N($D90)-N($F90)))</f>
        <v/>
      </c>
      <c r="I90" s="12">
        <f>IF($H90="","",$H90*'設定'!$C$4)</f>
        <v/>
      </c>
      <c r="J90" s="13">
        <f>IF(N($C90)=0,"",N($D90)/$C90)</f>
        <v/>
      </c>
      <c r="K90" s="13">
        <f>IF(N($D90)=0,"",N($E90)/$D90)</f>
        <v/>
      </c>
    </row>
    <row r="91">
      <c r="A91" s="8" t="n"/>
      <c r="B91" s="7" t="n"/>
      <c r="C91" s="10" t="n"/>
      <c r="D91" s="11" t="n"/>
      <c r="E91" s="11" t="n"/>
      <c r="F91" s="11" t="n"/>
      <c r="G91" s="12">
        <f>IF($B91="","",IFERROR(INDEX('商品'!$C$4:$C$18,MATCH($B91,'商品'!$A$4:$A$18,0)),""))</f>
        <v/>
      </c>
      <c r="H91" s="12">
        <f>IF(OR($B91="",$G91=""),"",$G91*(N($D91)-N($F91)))</f>
        <v/>
      </c>
      <c r="I91" s="12">
        <f>IF($H91="","",$H91*'設定'!$C$4)</f>
        <v/>
      </c>
      <c r="J91" s="13">
        <f>IF(N($C91)=0,"",N($D91)/$C91)</f>
        <v/>
      </c>
      <c r="K91" s="13">
        <f>IF(N($D91)=0,"",N($E91)/$D91)</f>
        <v/>
      </c>
    </row>
    <row r="92">
      <c r="A92" s="8" t="n"/>
      <c r="B92" s="7" t="n"/>
      <c r="C92" s="10" t="n"/>
      <c r="D92" s="11" t="n"/>
      <c r="E92" s="11" t="n"/>
      <c r="F92" s="11" t="n"/>
      <c r="G92" s="12">
        <f>IF($B92="","",IFERROR(INDEX('商品'!$C$4:$C$18,MATCH($B92,'商品'!$A$4:$A$18,0)),""))</f>
        <v/>
      </c>
      <c r="H92" s="12">
        <f>IF(OR($B92="",$G92=""),"",$G92*(N($D92)-N($F92)))</f>
        <v/>
      </c>
      <c r="I92" s="12">
        <f>IF($H92="","",$H92*'設定'!$C$4)</f>
        <v/>
      </c>
      <c r="J92" s="13">
        <f>IF(N($C92)=0,"",N($D92)/$C92)</f>
        <v/>
      </c>
      <c r="K92" s="13">
        <f>IF(N($D92)=0,"",N($E92)/$D92)</f>
        <v/>
      </c>
    </row>
    <row r="93">
      <c r="A93" s="8" t="n"/>
      <c r="B93" s="7" t="n"/>
      <c r="C93" s="10" t="n"/>
      <c r="D93" s="11" t="n"/>
      <c r="E93" s="11" t="n"/>
      <c r="F93" s="11" t="n"/>
      <c r="G93" s="12">
        <f>IF($B93="","",IFERROR(INDEX('商品'!$C$4:$C$18,MATCH($B93,'商品'!$A$4:$A$18,0)),""))</f>
        <v/>
      </c>
      <c r="H93" s="12">
        <f>IF(OR($B93="",$G93=""),"",$G93*(N($D93)-N($F93)))</f>
        <v/>
      </c>
      <c r="I93" s="12">
        <f>IF($H93="","",$H93*'設定'!$C$4)</f>
        <v/>
      </c>
      <c r="J93" s="13">
        <f>IF(N($C93)=0,"",N($D93)/$C93)</f>
        <v/>
      </c>
      <c r="K93" s="13">
        <f>IF(N($D93)=0,"",N($E93)/$D93)</f>
        <v/>
      </c>
    </row>
    <row r="94">
      <c r="A94" s="8" t="n"/>
      <c r="B94" s="7" t="n"/>
      <c r="C94" s="10" t="n"/>
      <c r="D94" s="11" t="n"/>
      <c r="E94" s="11" t="n"/>
      <c r="F94" s="11" t="n"/>
      <c r="G94" s="12">
        <f>IF($B94="","",IFERROR(INDEX('商品'!$C$4:$C$18,MATCH($B94,'商品'!$A$4:$A$18,0)),""))</f>
        <v/>
      </c>
      <c r="H94" s="12">
        <f>IF(OR($B94="",$G94=""),"",$G94*(N($D94)-N($F94)))</f>
        <v/>
      </c>
      <c r="I94" s="12">
        <f>IF($H94="","",$H94*'設定'!$C$4)</f>
        <v/>
      </c>
      <c r="J94" s="13">
        <f>IF(N($C94)=0,"",N($D94)/$C94)</f>
        <v/>
      </c>
      <c r="K94" s="13">
        <f>IF(N($D94)=0,"",N($E94)/$D94)</f>
        <v/>
      </c>
    </row>
    <row r="95">
      <c r="A95" s="8" t="n"/>
      <c r="B95" s="7" t="n"/>
      <c r="C95" s="10" t="n"/>
      <c r="D95" s="11" t="n"/>
      <c r="E95" s="11" t="n"/>
      <c r="F95" s="11" t="n"/>
      <c r="G95" s="12">
        <f>IF($B95="","",IFERROR(INDEX('商品'!$C$4:$C$18,MATCH($B95,'商品'!$A$4:$A$18,0)),""))</f>
        <v/>
      </c>
      <c r="H95" s="12">
        <f>IF(OR($B95="",$G95=""),"",$G95*(N($D95)-N($F95)))</f>
        <v/>
      </c>
      <c r="I95" s="12">
        <f>IF($H95="","",$H95*'設定'!$C$4)</f>
        <v/>
      </c>
      <c r="J95" s="13">
        <f>IF(N($C95)=0,"",N($D95)/$C95)</f>
        <v/>
      </c>
      <c r="K95" s="13">
        <f>IF(N($D95)=0,"",N($E95)/$D95)</f>
        <v/>
      </c>
    </row>
    <row r="96">
      <c r="A96" s="8" t="n"/>
      <c r="B96" s="7" t="n"/>
      <c r="C96" s="10" t="n"/>
      <c r="D96" s="11" t="n"/>
      <c r="E96" s="11" t="n"/>
      <c r="F96" s="11" t="n"/>
      <c r="G96" s="12">
        <f>IF($B96="","",IFERROR(INDEX('商品'!$C$4:$C$18,MATCH($B96,'商品'!$A$4:$A$18,0)),""))</f>
        <v/>
      </c>
      <c r="H96" s="12">
        <f>IF(OR($B96="",$G96=""),"",$G96*(N($D96)-N($F96)))</f>
        <v/>
      </c>
      <c r="I96" s="12">
        <f>IF($H96="","",$H96*'設定'!$C$4)</f>
        <v/>
      </c>
      <c r="J96" s="13">
        <f>IF(N($C96)=0,"",N($D96)/$C96)</f>
        <v/>
      </c>
      <c r="K96" s="13">
        <f>IF(N($D96)=0,"",N($E96)/$D96)</f>
        <v/>
      </c>
    </row>
    <row r="97">
      <c r="A97" s="8" t="n"/>
      <c r="B97" s="7" t="n"/>
      <c r="C97" s="10" t="n"/>
      <c r="D97" s="11" t="n"/>
      <c r="E97" s="11" t="n"/>
      <c r="F97" s="11" t="n"/>
      <c r="G97" s="12">
        <f>IF($B97="","",IFERROR(INDEX('商品'!$C$4:$C$18,MATCH($B97,'商品'!$A$4:$A$18,0)),""))</f>
        <v/>
      </c>
      <c r="H97" s="12">
        <f>IF(OR($B97="",$G97=""),"",$G97*(N($D97)-N($F97)))</f>
        <v/>
      </c>
      <c r="I97" s="12">
        <f>IF($H97="","",$H97*'設定'!$C$4)</f>
        <v/>
      </c>
      <c r="J97" s="13">
        <f>IF(N($C97)=0,"",N($D97)/$C97)</f>
        <v/>
      </c>
      <c r="K97" s="13">
        <f>IF(N($D97)=0,"",N($E97)/$D97)</f>
        <v/>
      </c>
    </row>
    <row r="98">
      <c r="A98" s="8" t="n"/>
      <c r="B98" s="7" t="n"/>
      <c r="C98" s="10" t="n"/>
      <c r="D98" s="11" t="n"/>
      <c r="E98" s="11" t="n"/>
      <c r="F98" s="11" t="n"/>
      <c r="G98" s="12">
        <f>IF($B98="","",IFERROR(INDEX('商品'!$C$4:$C$18,MATCH($B98,'商品'!$A$4:$A$18,0)),""))</f>
        <v/>
      </c>
      <c r="H98" s="12">
        <f>IF(OR($B98="",$G98=""),"",$G98*(N($D98)-N($F98)))</f>
        <v/>
      </c>
      <c r="I98" s="12">
        <f>IF($H98="","",$H98*'設定'!$C$4)</f>
        <v/>
      </c>
      <c r="J98" s="13">
        <f>IF(N($C98)=0,"",N($D98)/$C98)</f>
        <v/>
      </c>
      <c r="K98" s="13">
        <f>IF(N($D98)=0,"",N($E98)/$D98)</f>
        <v/>
      </c>
    </row>
    <row r="99">
      <c r="A99" s="8" t="n"/>
      <c r="B99" s="7" t="n"/>
      <c r="C99" s="10" t="n"/>
      <c r="D99" s="11" t="n"/>
      <c r="E99" s="11" t="n"/>
      <c r="F99" s="11" t="n"/>
      <c r="G99" s="12">
        <f>IF($B99="","",IFERROR(INDEX('商品'!$C$4:$C$18,MATCH($B99,'商品'!$A$4:$A$18,0)),""))</f>
        <v/>
      </c>
      <c r="H99" s="12">
        <f>IF(OR($B99="",$G99=""),"",$G99*(N($D99)-N($F99)))</f>
        <v/>
      </c>
      <c r="I99" s="12">
        <f>IF($H99="","",$H99*'設定'!$C$4)</f>
        <v/>
      </c>
      <c r="J99" s="13">
        <f>IF(N($C99)=0,"",N($D99)/$C99)</f>
        <v/>
      </c>
      <c r="K99" s="13">
        <f>IF(N($D99)=0,"",N($E99)/$D99)</f>
        <v/>
      </c>
    </row>
    <row r="100">
      <c r="A100" s="8" t="n"/>
      <c r="B100" s="7" t="n"/>
      <c r="C100" s="10" t="n"/>
      <c r="D100" s="11" t="n"/>
      <c r="E100" s="11" t="n"/>
      <c r="F100" s="11" t="n"/>
      <c r="G100" s="12">
        <f>IF($B100="","",IFERROR(INDEX('商品'!$C$4:$C$18,MATCH($B100,'商品'!$A$4:$A$18,0)),""))</f>
        <v/>
      </c>
      <c r="H100" s="12">
        <f>IF(OR($B100="",$G100=""),"",$G100*(N($D100)-N($F100)))</f>
        <v/>
      </c>
      <c r="I100" s="12">
        <f>IF($H100="","",$H100*'設定'!$C$4)</f>
        <v/>
      </c>
      <c r="J100" s="13">
        <f>IF(N($C100)=0,"",N($D100)/$C100)</f>
        <v/>
      </c>
      <c r="K100" s="13">
        <f>IF(N($D100)=0,"",N($E100)/$D100)</f>
        <v/>
      </c>
    </row>
    <row r="101">
      <c r="A101" s="8" t="n"/>
      <c r="B101" s="7" t="n"/>
      <c r="C101" s="10" t="n"/>
      <c r="D101" s="11" t="n"/>
      <c r="E101" s="11" t="n"/>
      <c r="F101" s="11" t="n"/>
      <c r="G101" s="12">
        <f>IF($B101="","",IFERROR(INDEX('商品'!$C$4:$C$18,MATCH($B101,'商品'!$A$4:$A$18,0)),""))</f>
        <v/>
      </c>
      <c r="H101" s="12">
        <f>IF(OR($B101="",$G101=""),"",$G101*(N($D101)-N($F101)))</f>
        <v/>
      </c>
      <c r="I101" s="12">
        <f>IF($H101="","",$H101*'設定'!$C$4)</f>
        <v/>
      </c>
      <c r="J101" s="13">
        <f>IF(N($C101)=0,"",N($D101)/$C101)</f>
        <v/>
      </c>
      <c r="K101" s="13">
        <f>IF(N($D101)=0,"",N($E101)/$D101)</f>
        <v/>
      </c>
    </row>
    <row r="102">
      <c r="A102" s="8" t="n"/>
      <c r="B102" s="7" t="n"/>
      <c r="C102" s="10" t="n"/>
      <c r="D102" s="11" t="n"/>
      <c r="E102" s="11" t="n"/>
      <c r="F102" s="11" t="n"/>
      <c r="G102" s="12">
        <f>IF($B102="","",IFERROR(INDEX('商品'!$C$4:$C$18,MATCH($B102,'商品'!$A$4:$A$18,0)),""))</f>
        <v/>
      </c>
      <c r="H102" s="12">
        <f>IF(OR($B102="",$G102=""),"",$G102*(N($D102)-N($F102)))</f>
        <v/>
      </c>
      <c r="I102" s="12">
        <f>IF($H102="","",$H102*'設定'!$C$4)</f>
        <v/>
      </c>
      <c r="J102" s="13">
        <f>IF(N($C102)=0,"",N($D102)/$C102)</f>
        <v/>
      </c>
      <c r="K102" s="13">
        <f>IF(N($D102)=0,"",N($E102)/$D102)</f>
        <v/>
      </c>
    </row>
    <row r="103">
      <c r="A103" s="8" t="n"/>
      <c r="B103" s="7" t="n"/>
      <c r="C103" s="10" t="n"/>
      <c r="D103" s="11" t="n"/>
      <c r="E103" s="11" t="n"/>
      <c r="F103" s="11" t="n"/>
      <c r="G103" s="12">
        <f>IF($B103="","",IFERROR(INDEX('商品'!$C$4:$C$18,MATCH($B103,'商品'!$A$4:$A$18,0)),""))</f>
        <v/>
      </c>
      <c r="H103" s="12">
        <f>IF(OR($B103="",$G103=""),"",$G103*(N($D103)-N($F103)))</f>
        <v/>
      </c>
      <c r="I103" s="12">
        <f>IF($H103="","",$H103*'設定'!$C$4)</f>
        <v/>
      </c>
      <c r="J103" s="13">
        <f>IF(N($C103)=0,"",N($D103)/$C103)</f>
        <v/>
      </c>
      <c r="K103" s="13">
        <f>IF(N($D103)=0,"",N($E103)/$D103)</f>
        <v/>
      </c>
    </row>
    <row r="104">
      <c r="A104" s="8" t="n"/>
      <c r="B104" s="7" t="n"/>
      <c r="C104" s="10" t="n"/>
      <c r="D104" s="11" t="n"/>
      <c r="E104" s="11" t="n"/>
      <c r="F104" s="11" t="n"/>
      <c r="G104" s="12">
        <f>IF($B104="","",IFERROR(INDEX('商品'!$C$4:$C$18,MATCH($B104,'商品'!$A$4:$A$18,0)),""))</f>
        <v/>
      </c>
      <c r="H104" s="12">
        <f>IF(OR($B104="",$G104=""),"",$G104*(N($D104)-N($F104)))</f>
        <v/>
      </c>
      <c r="I104" s="12">
        <f>IF($H104="","",$H104*'設定'!$C$4)</f>
        <v/>
      </c>
      <c r="J104" s="13">
        <f>IF(N($C104)=0,"",N($D104)/$C104)</f>
        <v/>
      </c>
      <c r="K104" s="13">
        <f>IF(N($D104)=0,"",N($E104)/$D104)</f>
        <v/>
      </c>
    </row>
    <row r="105">
      <c r="A105" s="8" t="n"/>
      <c r="B105" s="7" t="n"/>
      <c r="C105" s="10" t="n"/>
      <c r="D105" s="11" t="n"/>
      <c r="E105" s="11" t="n"/>
      <c r="F105" s="11" t="n"/>
      <c r="G105" s="12">
        <f>IF($B105="","",IFERROR(INDEX('商品'!$C$4:$C$18,MATCH($B105,'商品'!$A$4:$A$18,0)),""))</f>
        <v/>
      </c>
      <c r="H105" s="12">
        <f>IF(OR($B105="",$G105=""),"",$G105*(N($D105)-N($F105)))</f>
        <v/>
      </c>
      <c r="I105" s="12">
        <f>IF($H105="","",$H105*'設定'!$C$4)</f>
        <v/>
      </c>
      <c r="J105" s="13">
        <f>IF(N($C105)=0,"",N($D105)/$C105)</f>
        <v/>
      </c>
      <c r="K105" s="13">
        <f>IF(N($D105)=0,"",N($E105)/$D105)</f>
        <v/>
      </c>
    </row>
    <row r="106">
      <c r="A106" s="8" t="n"/>
      <c r="B106" s="7" t="n"/>
      <c r="C106" s="10" t="n"/>
      <c r="D106" s="11" t="n"/>
      <c r="E106" s="11" t="n"/>
      <c r="F106" s="11" t="n"/>
      <c r="G106" s="12">
        <f>IF($B106="","",IFERROR(INDEX('商品'!$C$4:$C$18,MATCH($B106,'商品'!$A$4:$A$18,0)),""))</f>
        <v/>
      </c>
      <c r="H106" s="12">
        <f>IF(OR($B106="",$G106=""),"",$G106*(N($D106)-N($F106)))</f>
        <v/>
      </c>
      <c r="I106" s="12">
        <f>IF($H106="","",$H106*'設定'!$C$4)</f>
        <v/>
      </c>
      <c r="J106" s="13">
        <f>IF(N($C106)=0,"",N($D106)/$C106)</f>
        <v/>
      </c>
      <c r="K106" s="13">
        <f>IF(N($D106)=0,"",N($E106)/$D106)</f>
        <v/>
      </c>
    </row>
    <row r="107">
      <c r="A107" s="8" t="n"/>
      <c r="B107" s="7" t="n"/>
      <c r="C107" s="10" t="n"/>
      <c r="D107" s="11" t="n"/>
      <c r="E107" s="11" t="n"/>
      <c r="F107" s="11" t="n"/>
      <c r="G107" s="12">
        <f>IF($B107="","",IFERROR(INDEX('商品'!$C$4:$C$18,MATCH($B107,'商品'!$A$4:$A$18,0)),""))</f>
        <v/>
      </c>
      <c r="H107" s="12">
        <f>IF(OR($B107="",$G107=""),"",$G107*(N($D107)-N($F107)))</f>
        <v/>
      </c>
      <c r="I107" s="12">
        <f>IF($H107="","",$H107*'設定'!$C$4)</f>
        <v/>
      </c>
      <c r="J107" s="13">
        <f>IF(N($C107)=0,"",N($D107)/$C107)</f>
        <v/>
      </c>
      <c r="K107" s="13">
        <f>IF(N($D107)=0,"",N($E107)/$D107)</f>
        <v/>
      </c>
    </row>
    <row r="108">
      <c r="A108" s="8" t="n"/>
      <c r="B108" s="7" t="n"/>
      <c r="C108" s="10" t="n"/>
      <c r="D108" s="11" t="n"/>
      <c r="E108" s="11" t="n"/>
      <c r="F108" s="11" t="n"/>
      <c r="G108" s="12">
        <f>IF($B108="","",IFERROR(INDEX('商品'!$C$4:$C$18,MATCH($B108,'商品'!$A$4:$A$18,0)),""))</f>
        <v/>
      </c>
      <c r="H108" s="12">
        <f>IF(OR($B108="",$G108=""),"",$G108*(N($D108)-N($F108)))</f>
        <v/>
      </c>
      <c r="I108" s="12">
        <f>IF($H108="","",$H108*'設定'!$C$4)</f>
        <v/>
      </c>
      <c r="J108" s="13">
        <f>IF(N($C108)=0,"",N($D108)/$C108)</f>
        <v/>
      </c>
      <c r="K108" s="13">
        <f>IF(N($D108)=0,"",N($E108)/$D108)</f>
        <v/>
      </c>
    </row>
    <row r="109">
      <c r="A109" s="8" t="n"/>
      <c r="B109" s="7" t="n"/>
      <c r="C109" s="10" t="n"/>
      <c r="D109" s="11" t="n"/>
      <c r="E109" s="11" t="n"/>
      <c r="F109" s="11" t="n"/>
      <c r="G109" s="12">
        <f>IF($B109="","",IFERROR(INDEX('商品'!$C$4:$C$18,MATCH($B109,'商品'!$A$4:$A$18,0)),""))</f>
        <v/>
      </c>
      <c r="H109" s="12">
        <f>IF(OR($B109="",$G109=""),"",$G109*(N($D109)-N($F109)))</f>
        <v/>
      </c>
      <c r="I109" s="12">
        <f>IF($H109="","",$H109*'設定'!$C$4)</f>
        <v/>
      </c>
      <c r="J109" s="13">
        <f>IF(N($C109)=0,"",N($D109)/$C109)</f>
        <v/>
      </c>
      <c r="K109" s="13">
        <f>IF(N($D109)=0,"",N($E109)/$D109)</f>
        <v/>
      </c>
    </row>
    <row r="110">
      <c r="A110" s="8" t="n"/>
      <c r="B110" s="7" t="n"/>
      <c r="C110" s="10" t="n"/>
      <c r="D110" s="11" t="n"/>
      <c r="E110" s="11" t="n"/>
      <c r="F110" s="11" t="n"/>
      <c r="G110" s="12">
        <f>IF($B110="","",IFERROR(INDEX('商品'!$C$4:$C$18,MATCH($B110,'商品'!$A$4:$A$18,0)),""))</f>
        <v/>
      </c>
      <c r="H110" s="12">
        <f>IF(OR($B110="",$G110=""),"",$G110*(N($D110)-N($F110)))</f>
        <v/>
      </c>
      <c r="I110" s="12">
        <f>IF($H110="","",$H110*'設定'!$C$4)</f>
        <v/>
      </c>
      <c r="J110" s="13">
        <f>IF(N($C110)=0,"",N($D110)/$C110)</f>
        <v/>
      </c>
      <c r="K110" s="13">
        <f>IF(N($D110)=0,"",N($E110)/$D110)</f>
        <v/>
      </c>
    </row>
    <row r="111">
      <c r="A111" s="8" t="n"/>
      <c r="B111" s="7" t="n"/>
      <c r="C111" s="10" t="n"/>
      <c r="D111" s="11" t="n"/>
      <c r="E111" s="11" t="n"/>
      <c r="F111" s="11" t="n"/>
      <c r="G111" s="12">
        <f>IF($B111="","",IFERROR(INDEX('商品'!$C$4:$C$18,MATCH($B111,'商品'!$A$4:$A$18,0)),""))</f>
        <v/>
      </c>
      <c r="H111" s="12">
        <f>IF(OR($B111="",$G111=""),"",$G111*(N($D111)-N($F111)))</f>
        <v/>
      </c>
      <c r="I111" s="12">
        <f>IF($H111="","",$H111*'設定'!$C$4)</f>
        <v/>
      </c>
      <c r="J111" s="13">
        <f>IF(N($C111)=0,"",N($D111)/$C111)</f>
        <v/>
      </c>
      <c r="K111" s="13">
        <f>IF(N($D111)=0,"",N($E111)/$D111)</f>
        <v/>
      </c>
    </row>
    <row r="112">
      <c r="A112" s="8" t="n"/>
      <c r="B112" s="7" t="n"/>
      <c r="C112" s="10" t="n"/>
      <c r="D112" s="11" t="n"/>
      <c r="E112" s="11" t="n"/>
      <c r="F112" s="11" t="n"/>
      <c r="G112" s="12">
        <f>IF($B112="","",IFERROR(INDEX('商品'!$C$4:$C$18,MATCH($B112,'商品'!$A$4:$A$18,0)),""))</f>
        <v/>
      </c>
      <c r="H112" s="12">
        <f>IF(OR($B112="",$G112=""),"",$G112*(N($D112)-N($F112)))</f>
        <v/>
      </c>
      <c r="I112" s="12">
        <f>IF($H112="","",$H112*'設定'!$C$4)</f>
        <v/>
      </c>
      <c r="J112" s="13">
        <f>IF(N($C112)=0,"",N($D112)/$C112)</f>
        <v/>
      </c>
      <c r="K112" s="13">
        <f>IF(N($D112)=0,"",N($E112)/$D112)</f>
        <v/>
      </c>
    </row>
    <row r="113">
      <c r="A113" s="8" t="n"/>
      <c r="B113" s="7" t="n"/>
      <c r="C113" s="10" t="n"/>
      <c r="D113" s="11" t="n"/>
      <c r="E113" s="11" t="n"/>
      <c r="F113" s="11" t="n"/>
      <c r="G113" s="12">
        <f>IF($B113="","",IFERROR(INDEX('商品'!$C$4:$C$18,MATCH($B113,'商品'!$A$4:$A$18,0)),""))</f>
        <v/>
      </c>
      <c r="H113" s="12">
        <f>IF(OR($B113="",$G113=""),"",$G113*(N($D113)-N($F113)))</f>
        <v/>
      </c>
      <c r="I113" s="12">
        <f>IF($H113="","",$H113*'設定'!$C$4)</f>
        <v/>
      </c>
      <c r="J113" s="13">
        <f>IF(N($C113)=0,"",N($D113)/$C113)</f>
        <v/>
      </c>
      <c r="K113" s="13">
        <f>IF(N($D113)=0,"",N($E113)/$D113)</f>
        <v/>
      </c>
    </row>
    <row r="114">
      <c r="A114" s="8" t="n"/>
      <c r="B114" s="7" t="n"/>
      <c r="C114" s="10" t="n"/>
      <c r="D114" s="11" t="n"/>
      <c r="E114" s="11" t="n"/>
      <c r="F114" s="11" t="n"/>
      <c r="G114" s="12">
        <f>IF($B114="","",IFERROR(INDEX('商品'!$C$4:$C$18,MATCH($B114,'商品'!$A$4:$A$18,0)),""))</f>
        <v/>
      </c>
      <c r="H114" s="12">
        <f>IF(OR($B114="",$G114=""),"",$G114*(N($D114)-N($F114)))</f>
        <v/>
      </c>
      <c r="I114" s="12">
        <f>IF($H114="","",$H114*'設定'!$C$4)</f>
        <v/>
      </c>
      <c r="J114" s="13">
        <f>IF(N($C114)=0,"",N($D114)/$C114)</f>
        <v/>
      </c>
      <c r="K114" s="13">
        <f>IF(N($D114)=0,"",N($E114)/$D114)</f>
        <v/>
      </c>
    </row>
    <row r="115">
      <c r="A115" s="8" t="n"/>
      <c r="B115" s="7" t="n"/>
      <c r="C115" s="10" t="n"/>
      <c r="D115" s="11" t="n"/>
      <c r="E115" s="11" t="n"/>
      <c r="F115" s="11" t="n"/>
      <c r="G115" s="12">
        <f>IF($B115="","",IFERROR(INDEX('商品'!$C$4:$C$18,MATCH($B115,'商品'!$A$4:$A$18,0)),""))</f>
        <v/>
      </c>
      <c r="H115" s="12">
        <f>IF(OR($B115="",$G115=""),"",$G115*(N($D115)-N($F115)))</f>
        <v/>
      </c>
      <c r="I115" s="12">
        <f>IF($H115="","",$H115*'設定'!$C$4)</f>
        <v/>
      </c>
      <c r="J115" s="13">
        <f>IF(N($C115)=0,"",N($D115)/$C115)</f>
        <v/>
      </c>
      <c r="K115" s="13">
        <f>IF(N($D115)=0,"",N($E115)/$D115)</f>
        <v/>
      </c>
    </row>
    <row r="116">
      <c r="A116" s="8" t="n"/>
      <c r="B116" s="7" t="n"/>
      <c r="C116" s="10" t="n"/>
      <c r="D116" s="11" t="n"/>
      <c r="E116" s="11" t="n"/>
      <c r="F116" s="11" t="n"/>
      <c r="G116" s="12">
        <f>IF($B116="","",IFERROR(INDEX('商品'!$C$4:$C$18,MATCH($B116,'商品'!$A$4:$A$18,0)),""))</f>
        <v/>
      </c>
      <c r="H116" s="12">
        <f>IF(OR($B116="",$G116=""),"",$G116*(N($D116)-N($F116)))</f>
        <v/>
      </c>
      <c r="I116" s="12">
        <f>IF($H116="","",$H116*'設定'!$C$4)</f>
        <v/>
      </c>
      <c r="J116" s="13">
        <f>IF(N($C116)=0,"",N($D116)/$C116)</f>
        <v/>
      </c>
      <c r="K116" s="13">
        <f>IF(N($D116)=0,"",N($E116)/$D116)</f>
        <v/>
      </c>
    </row>
    <row r="117">
      <c r="A117" s="8" t="n"/>
      <c r="B117" s="7" t="n"/>
      <c r="C117" s="10" t="n"/>
      <c r="D117" s="11" t="n"/>
      <c r="E117" s="11" t="n"/>
      <c r="F117" s="11" t="n"/>
      <c r="G117" s="12">
        <f>IF($B117="","",IFERROR(INDEX('商品'!$C$4:$C$18,MATCH($B117,'商品'!$A$4:$A$18,0)),""))</f>
        <v/>
      </c>
      <c r="H117" s="12">
        <f>IF(OR($B117="",$G117=""),"",$G117*(N($D117)-N($F117)))</f>
        <v/>
      </c>
      <c r="I117" s="12">
        <f>IF($H117="","",$H117*'設定'!$C$4)</f>
        <v/>
      </c>
      <c r="J117" s="13">
        <f>IF(N($C117)=0,"",N($D117)/$C117)</f>
        <v/>
      </c>
      <c r="K117" s="13">
        <f>IF(N($D117)=0,"",N($E117)/$D117)</f>
        <v/>
      </c>
    </row>
    <row r="118">
      <c r="A118" s="8" t="n"/>
      <c r="B118" s="7" t="n"/>
      <c r="C118" s="10" t="n"/>
      <c r="D118" s="11" t="n"/>
      <c r="E118" s="11" t="n"/>
      <c r="F118" s="11" t="n"/>
      <c r="G118" s="12">
        <f>IF($B118="","",IFERROR(INDEX('商品'!$C$4:$C$18,MATCH($B118,'商品'!$A$4:$A$18,0)),""))</f>
        <v/>
      </c>
      <c r="H118" s="12">
        <f>IF(OR($B118="",$G118=""),"",$G118*(N($D118)-N($F118)))</f>
        <v/>
      </c>
      <c r="I118" s="12">
        <f>IF($H118="","",$H118*'設定'!$C$4)</f>
        <v/>
      </c>
      <c r="J118" s="13">
        <f>IF(N($C118)=0,"",N($D118)/$C118)</f>
        <v/>
      </c>
      <c r="K118" s="13">
        <f>IF(N($D118)=0,"",N($E118)/$D118)</f>
        <v/>
      </c>
    </row>
    <row r="119">
      <c r="A119" s="8" t="n"/>
      <c r="B119" s="7" t="n"/>
      <c r="C119" s="10" t="n"/>
      <c r="D119" s="11" t="n"/>
      <c r="E119" s="11" t="n"/>
      <c r="F119" s="11" t="n"/>
      <c r="G119" s="12">
        <f>IF($B119="","",IFERROR(INDEX('商品'!$C$4:$C$18,MATCH($B119,'商品'!$A$4:$A$18,0)),""))</f>
        <v/>
      </c>
      <c r="H119" s="12">
        <f>IF(OR($B119="",$G119=""),"",$G119*(N($D119)-N($F119)))</f>
        <v/>
      </c>
      <c r="I119" s="12">
        <f>IF($H119="","",$H119*'設定'!$C$4)</f>
        <v/>
      </c>
      <c r="J119" s="13">
        <f>IF(N($C119)=0,"",N($D119)/$C119)</f>
        <v/>
      </c>
      <c r="K119" s="13">
        <f>IF(N($D119)=0,"",N($E119)/$D119)</f>
        <v/>
      </c>
    </row>
    <row r="120">
      <c r="A120" s="8" t="n"/>
      <c r="B120" s="7" t="n"/>
      <c r="C120" s="10" t="n"/>
      <c r="D120" s="11" t="n"/>
      <c r="E120" s="11" t="n"/>
      <c r="F120" s="11" t="n"/>
      <c r="G120" s="12">
        <f>IF($B120="","",IFERROR(INDEX('商品'!$C$4:$C$18,MATCH($B120,'商品'!$A$4:$A$18,0)),""))</f>
        <v/>
      </c>
      <c r="H120" s="12">
        <f>IF(OR($B120="",$G120=""),"",$G120*(N($D120)-N($F120)))</f>
        <v/>
      </c>
      <c r="I120" s="12">
        <f>IF($H120="","",$H120*'設定'!$C$4)</f>
        <v/>
      </c>
      <c r="J120" s="13">
        <f>IF(N($C120)=0,"",N($D120)/$C120)</f>
        <v/>
      </c>
      <c r="K120" s="13">
        <f>IF(N($D120)=0,"",N($E120)/$D120)</f>
        <v/>
      </c>
    </row>
    <row r="121">
      <c r="A121" s="8" t="n"/>
      <c r="B121" s="7" t="n"/>
      <c r="C121" s="10" t="n"/>
      <c r="D121" s="11" t="n"/>
      <c r="E121" s="11" t="n"/>
      <c r="F121" s="11" t="n"/>
      <c r="G121" s="12">
        <f>IF($B121="","",IFERROR(INDEX('商品'!$C$4:$C$18,MATCH($B121,'商品'!$A$4:$A$18,0)),""))</f>
        <v/>
      </c>
      <c r="H121" s="12">
        <f>IF(OR($B121="",$G121=""),"",$G121*(N($D121)-N($F121)))</f>
        <v/>
      </c>
      <c r="I121" s="12">
        <f>IF($H121="","",$H121*'設定'!$C$4)</f>
        <v/>
      </c>
      <c r="J121" s="13">
        <f>IF(N($C121)=0,"",N($D121)/$C121)</f>
        <v/>
      </c>
      <c r="K121" s="13">
        <f>IF(N($D121)=0,"",N($E121)/$D121)</f>
        <v/>
      </c>
    </row>
    <row r="122">
      <c r="A122" s="8" t="n"/>
      <c r="B122" s="7" t="n"/>
      <c r="C122" s="10" t="n"/>
      <c r="D122" s="11" t="n"/>
      <c r="E122" s="11" t="n"/>
      <c r="F122" s="11" t="n"/>
      <c r="G122" s="12">
        <f>IF($B122="","",IFERROR(INDEX('商品'!$C$4:$C$18,MATCH($B122,'商品'!$A$4:$A$18,0)),""))</f>
        <v/>
      </c>
      <c r="H122" s="12">
        <f>IF(OR($B122="",$G122=""),"",$G122*(N($D122)-N($F122)))</f>
        <v/>
      </c>
      <c r="I122" s="12">
        <f>IF($H122="","",$H122*'設定'!$C$4)</f>
        <v/>
      </c>
      <c r="J122" s="13">
        <f>IF(N($C122)=0,"",N($D122)/$C122)</f>
        <v/>
      </c>
      <c r="K122" s="13">
        <f>IF(N($D122)=0,"",N($E122)/$D122)</f>
        <v/>
      </c>
    </row>
    <row r="123">
      <c r="A123" s="8" t="n"/>
      <c r="B123" s="7" t="n"/>
      <c r="C123" s="10" t="n"/>
      <c r="D123" s="11" t="n"/>
      <c r="E123" s="11" t="n"/>
      <c r="F123" s="11" t="n"/>
      <c r="G123" s="12">
        <f>IF($B123="","",IFERROR(INDEX('商品'!$C$4:$C$18,MATCH($B123,'商品'!$A$4:$A$18,0)),""))</f>
        <v/>
      </c>
      <c r="H123" s="12">
        <f>IF(OR($B123="",$G123=""),"",$G123*(N($D123)-N($F123)))</f>
        <v/>
      </c>
      <c r="I123" s="12">
        <f>IF($H123="","",$H123*'設定'!$C$4)</f>
        <v/>
      </c>
      <c r="J123" s="13">
        <f>IF(N($C123)=0,"",N($D123)/$C123)</f>
        <v/>
      </c>
      <c r="K123" s="13">
        <f>IF(N($D123)=0,"",N($E123)/$D123)</f>
        <v/>
      </c>
    </row>
    <row r="124">
      <c r="A124" s="8" t="n"/>
      <c r="B124" s="7" t="n"/>
      <c r="C124" s="10" t="n"/>
      <c r="D124" s="11" t="n"/>
      <c r="E124" s="11" t="n"/>
      <c r="F124" s="11" t="n"/>
      <c r="G124" s="12">
        <f>IF($B124="","",IFERROR(INDEX('商品'!$C$4:$C$18,MATCH($B124,'商品'!$A$4:$A$18,0)),""))</f>
        <v/>
      </c>
      <c r="H124" s="12">
        <f>IF(OR($B124="",$G124=""),"",$G124*(N($D124)-N($F124)))</f>
        <v/>
      </c>
      <c r="I124" s="12">
        <f>IF($H124="","",$H124*'設定'!$C$4)</f>
        <v/>
      </c>
      <c r="J124" s="13">
        <f>IF(N($C124)=0,"",N($D124)/$C124)</f>
        <v/>
      </c>
      <c r="K124" s="13">
        <f>IF(N($D124)=0,"",N($E124)/$D124)</f>
        <v/>
      </c>
    </row>
    <row r="125">
      <c r="A125" s="8" t="n"/>
      <c r="B125" s="7" t="n"/>
      <c r="C125" s="10" t="n"/>
      <c r="D125" s="11" t="n"/>
      <c r="E125" s="11" t="n"/>
      <c r="F125" s="11" t="n"/>
      <c r="G125" s="12">
        <f>IF($B125="","",IFERROR(INDEX('商品'!$C$4:$C$18,MATCH($B125,'商品'!$A$4:$A$18,0)),""))</f>
        <v/>
      </c>
      <c r="H125" s="12">
        <f>IF(OR($B125="",$G125=""),"",$G125*(N($D125)-N($F125)))</f>
        <v/>
      </c>
      <c r="I125" s="12">
        <f>IF($H125="","",$H125*'設定'!$C$4)</f>
        <v/>
      </c>
      <c r="J125" s="13">
        <f>IF(N($C125)=0,"",N($D125)/$C125)</f>
        <v/>
      </c>
      <c r="K125" s="13">
        <f>IF(N($D125)=0,"",N($E125)/$D125)</f>
        <v/>
      </c>
    </row>
    <row r="126">
      <c r="A126" s="8" t="n"/>
      <c r="B126" s="7" t="n"/>
      <c r="C126" s="10" t="n"/>
      <c r="D126" s="11" t="n"/>
      <c r="E126" s="11" t="n"/>
      <c r="F126" s="11" t="n"/>
      <c r="G126" s="12">
        <f>IF($B126="","",IFERROR(INDEX('商品'!$C$4:$C$18,MATCH($B126,'商品'!$A$4:$A$18,0)),""))</f>
        <v/>
      </c>
      <c r="H126" s="12">
        <f>IF(OR($B126="",$G126=""),"",$G126*(N($D126)-N($F126)))</f>
        <v/>
      </c>
      <c r="I126" s="12">
        <f>IF($H126="","",$H126*'設定'!$C$4)</f>
        <v/>
      </c>
      <c r="J126" s="13">
        <f>IF(N($C126)=0,"",N($D126)/$C126)</f>
        <v/>
      </c>
      <c r="K126" s="13">
        <f>IF(N($D126)=0,"",N($E126)/$D126)</f>
        <v/>
      </c>
    </row>
    <row r="127">
      <c r="A127" s="8" t="n"/>
      <c r="B127" s="7" t="n"/>
      <c r="C127" s="10" t="n"/>
      <c r="D127" s="11" t="n"/>
      <c r="E127" s="11" t="n"/>
      <c r="F127" s="11" t="n"/>
      <c r="G127" s="12">
        <f>IF($B127="","",IFERROR(INDEX('商品'!$C$4:$C$18,MATCH($B127,'商品'!$A$4:$A$18,0)),""))</f>
        <v/>
      </c>
      <c r="H127" s="12">
        <f>IF(OR($B127="",$G127=""),"",$G127*(N($D127)-N($F127)))</f>
        <v/>
      </c>
      <c r="I127" s="12">
        <f>IF($H127="","",$H127*'設定'!$C$4)</f>
        <v/>
      </c>
      <c r="J127" s="13">
        <f>IF(N($C127)=0,"",N($D127)/$C127)</f>
        <v/>
      </c>
      <c r="K127" s="13">
        <f>IF(N($D127)=0,"",N($E127)/$D127)</f>
        <v/>
      </c>
    </row>
    <row r="128">
      <c r="A128" s="8" t="n"/>
      <c r="B128" s="7" t="n"/>
      <c r="C128" s="10" t="n"/>
      <c r="D128" s="11" t="n"/>
      <c r="E128" s="11" t="n"/>
      <c r="F128" s="11" t="n"/>
      <c r="G128" s="12">
        <f>IF($B128="","",IFERROR(INDEX('商品'!$C$4:$C$18,MATCH($B128,'商品'!$A$4:$A$18,0)),""))</f>
        <v/>
      </c>
      <c r="H128" s="12">
        <f>IF(OR($B128="",$G128=""),"",$G128*(N($D128)-N($F128)))</f>
        <v/>
      </c>
      <c r="I128" s="12">
        <f>IF($H128="","",$H128*'設定'!$C$4)</f>
        <v/>
      </c>
      <c r="J128" s="13">
        <f>IF(N($C128)=0,"",N($D128)/$C128)</f>
        <v/>
      </c>
      <c r="K128" s="13">
        <f>IF(N($D128)=0,"",N($E128)/$D128)</f>
        <v/>
      </c>
    </row>
    <row r="129">
      <c r="A129" s="8" t="n"/>
      <c r="B129" s="7" t="n"/>
      <c r="C129" s="10" t="n"/>
      <c r="D129" s="11" t="n"/>
      <c r="E129" s="11" t="n"/>
      <c r="F129" s="11" t="n"/>
      <c r="G129" s="12">
        <f>IF($B129="","",IFERROR(INDEX('商品'!$C$4:$C$18,MATCH($B129,'商品'!$A$4:$A$18,0)),""))</f>
        <v/>
      </c>
      <c r="H129" s="12">
        <f>IF(OR($B129="",$G129=""),"",$G129*(N($D129)-N($F129)))</f>
        <v/>
      </c>
      <c r="I129" s="12">
        <f>IF($H129="","",$H129*'設定'!$C$4)</f>
        <v/>
      </c>
      <c r="J129" s="13">
        <f>IF(N($C129)=0,"",N($D129)/$C129)</f>
        <v/>
      </c>
      <c r="K129" s="13">
        <f>IF(N($D129)=0,"",N($E129)/$D129)</f>
        <v/>
      </c>
    </row>
    <row r="130">
      <c r="A130" s="8" t="n"/>
      <c r="B130" s="7" t="n"/>
      <c r="C130" s="10" t="n"/>
      <c r="D130" s="11" t="n"/>
      <c r="E130" s="11" t="n"/>
      <c r="F130" s="11" t="n"/>
      <c r="G130" s="12">
        <f>IF($B130="","",IFERROR(INDEX('商品'!$C$4:$C$18,MATCH($B130,'商品'!$A$4:$A$18,0)),""))</f>
        <v/>
      </c>
      <c r="H130" s="12">
        <f>IF(OR($B130="",$G130=""),"",$G130*(N($D130)-N($F130)))</f>
        <v/>
      </c>
      <c r="I130" s="12">
        <f>IF($H130="","",$H130*'設定'!$C$4)</f>
        <v/>
      </c>
      <c r="J130" s="13">
        <f>IF(N($C130)=0,"",N($D130)/$C130)</f>
        <v/>
      </c>
      <c r="K130" s="13">
        <f>IF(N($D130)=0,"",N($E130)/$D130)</f>
        <v/>
      </c>
    </row>
    <row r="131">
      <c r="A131" s="8" t="n"/>
      <c r="B131" s="7" t="n"/>
      <c r="C131" s="10" t="n"/>
      <c r="D131" s="11" t="n"/>
      <c r="E131" s="11" t="n"/>
      <c r="F131" s="11" t="n"/>
      <c r="G131" s="12">
        <f>IF($B131="","",IFERROR(INDEX('商品'!$C$4:$C$18,MATCH($B131,'商品'!$A$4:$A$18,0)),""))</f>
        <v/>
      </c>
      <c r="H131" s="12">
        <f>IF(OR($B131="",$G131=""),"",$G131*(N($D131)-N($F131)))</f>
        <v/>
      </c>
      <c r="I131" s="12">
        <f>IF($H131="","",$H131*'設定'!$C$4)</f>
        <v/>
      </c>
      <c r="J131" s="13">
        <f>IF(N($C131)=0,"",N($D131)/$C131)</f>
        <v/>
      </c>
      <c r="K131" s="13">
        <f>IF(N($D131)=0,"",N($E131)/$D131)</f>
        <v/>
      </c>
    </row>
    <row r="132">
      <c r="A132" s="8" t="n"/>
      <c r="B132" s="7" t="n"/>
      <c r="C132" s="10" t="n"/>
      <c r="D132" s="11" t="n"/>
      <c r="E132" s="11" t="n"/>
      <c r="F132" s="11" t="n"/>
      <c r="G132" s="12">
        <f>IF($B132="","",IFERROR(INDEX('商品'!$C$4:$C$18,MATCH($B132,'商品'!$A$4:$A$18,0)),""))</f>
        <v/>
      </c>
      <c r="H132" s="12">
        <f>IF(OR($B132="",$G132=""),"",$G132*(N($D132)-N($F132)))</f>
        <v/>
      </c>
      <c r="I132" s="12">
        <f>IF($H132="","",$H132*'設定'!$C$4)</f>
        <v/>
      </c>
      <c r="J132" s="13">
        <f>IF(N($C132)=0,"",N($D132)/$C132)</f>
        <v/>
      </c>
      <c r="K132" s="13">
        <f>IF(N($D132)=0,"",N($E132)/$D132)</f>
        <v/>
      </c>
    </row>
    <row r="133">
      <c r="A133" s="8" t="n"/>
      <c r="B133" s="7" t="n"/>
      <c r="C133" s="10" t="n"/>
      <c r="D133" s="11" t="n"/>
      <c r="E133" s="11" t="n"/>
      <c r="F133" s="11" t="n"/>
      <c r="G133" s="12">
        <f>IF($B133="","",IFERROR(INDEX('商品'!$C$4:$C$18,MATCH($B133,'商品'!$A$4:$A$18,0)),""))</f>
        <v/>
      </c>
      <c r="H133" s="12">
        <f>IF(OR($B133="",$G133=""),"",$G133*(N($D133)-N($F133)))</f>
        <v/>
      </c>
      <c r="I133" s="12">
        <f>IF($H133="","",$H133*'設定'!$C$4)</f>
        <v/>
      </c>
      <c r="J133" s="13">
        <f>IF(N($C133)=0,"",N($D133)/$C133)</f>
        <v/>
      </c>
      <c r="K133" s="13">
        <f>IF(N($D133)=0,"",N($E133)/$D133)</f>
        <v/>
      </c>
    </row>
    <row r="134">
      <c r="A134" s="8" t="n"/>
      <c r="B134" s="7" t="n"/>
      <c r="C134" s="10" t="n"/>
      <c r="D134" s="11" t="n"/>
      <c r="E134" s="11" t="n"/>
      <c r="F134" s="11" t="n"/>
      <c r="G134" s="12">
        <f>IF($B134="","",IFERROR(INDEX('商品'!$C$4:$C$18,MATCH($B134,'商品'!$A$4:$A$18,0)),""))</f>
        <v/>
      </c>
      <c r="H134" s="12">
        <f>IF(OR($B134="",$G134=""),"",$G134*(N($D134)-N($F134)))</f>
        <v/>
      </c>
      <c r="I134" s="12">
        <f>IF($H134="","",$H134*'設定'!$C$4)</f>
        <v/>
      </c>
      <c r="J134" s="13">
        <f>IF(N($C134)=0,"",N($D134)/$C134)</f>
        <v/>
      </c>
      <c r="K134" s="13">
        <f>IF(N($D134)=0,"",N($E134)/$D134)</f>
        <v/>
      </c>
    </row>
    <row r="135">
      <c r="A135" s="8" t="n"/>
      <c r="B135" s="7" t="n"/>
      <c r="C135" s="10" t="n"/>
      <c r="D135" s="11" t="n"/>
      <c r="E135" s="11" t="n"/>
      <c r="F135" s="11" t="n"/>
      <c r="G135" s="12">
        <f>IF($B135="","",IFERROR(INDEX('商品'!$C$4:$C$18,MATCH($B135,'商品'!$A$4:$A$18,0)),""))</f>
        <v/>
      </c>
      <c r="H135" s="12">
        <f>IF(OR($B135="",$G135=""),"",$G135*(N($D135)-N($F135)))</f>
        <v/>
      </c>
      <c r="I135" s="12">
        <f>IF($H135="","",$H135*'設定'!$C$4)</f>
        <v/>
      </c>
      <c r="J135" s="13">
        <f>IF(N($C135)=0,"",N($D135)/$C135)</f>
        <v/>
      </c>
      <c r="K135" s="13">
        <f>IF(N($D135)=0,"",N($E135)/$D135)</f>
        <v/>
      </c>
    </row>
    <row r="136">
      <c r="A136" s="8" t="n"/>
      <c r="B136" s="7" t="n"/>
      <c r="C136" s="10" t="n"/>
      <c r="D136" s="11" t="n"/>
      <c r="E136" s="11" t="n"/>
      <c r="F136" s="11" t="n"/>
      <c r="G136" s="12">
        <f>IF($B136="","",IFERROR(INDEX('商品'!$C$4:$C$18,MATCH($B136,'商品'!$A$4:$A$18,0)),""))</f>
        <v/>
      </c>
      <c r="H136" s="12">
        <f>IF(OR($B136="",$G136=""),"",$G136*(N($D136)-N($F136)))</f>
        <v/>
      </c>
      <c r="I136" s="12">
        <f>IF($H136="","",$H136*'設定'!$C$4)</f>
        <v/>
      </c>
      <c r="J136" s="13">
        <f>IF(N($C136)=0,"",N($D136)/$C136)</f>
        <v/>
      </c>
      <c r="K136" s="13">
        <f>IF(N($D136)=0,"",N($E136)/$D136)</f>
        <v/>
      </c>
    </row>
    <row r="137">
      <c r="A137" s="8" t="n"/>
      <c r="B137" s="7" t="n"/>
      <c r="C137" s="10" t="n"/>
      <c r="D137" s="11" t="n"/>
      <c r="E137" s="11" t="n"/>
      <c r="F137" s="11" t="n"/>
      <c r="G137" s="12">
        <f>IF($B137="","",IFERROR(INDEX('商品'!$C$4:$C$18,MATCH($B137,'商品'!$A$4:$A$18,0)),""))</f>
        <v/>
      </c>
      <c r="H137" s="12">
        <f>IF(OR($B137="",$G137=""),"",$G137*(N($D137)-N($F137)))</f>
        <v/>
      </c>
      <c r="I137" s="12">
        <f>IF($H137="","",$H137*'設定'!$C$4)</f>
        <v/>
      </c>
      <c r="J137" s="13">
        <f>IF(N($C137)=0,"",N($D137)/$C137)</f>
        <v/>
      </c>
      <c r="K137" s="13">
        <f>IF(N($D137)=0,"",N($E137)/$D137)</f>
        <v/>
      </c>
    </row>
    <row r="138">
      <c r="A138" s="8" t="n"/>
      <c r="B138" s="7" t="n"/>
      <c r="C138" s="10" t="n"/>
      <c r="D138" s="11" t="n"/>
      <c r="E138" s="11" t="n"/>
      <c r="F138" s="11" t="n"/>
      <c r="G138" s="12">
        <f>IF($B138="","",IFERROR(INDEX('商品'!$C$4:$C$18,MATCH($B138,'商品'!$A$4:$A$18,0)),""))</f>
        <v/>
      </c>
      <c r="H138" s="12">
        <f>IF(OR($B138="",$G138=""),"",$G138*(N($D138)-N($F138)))</f>
        <v/>
      </c>
      <c r="I138" s="12">
        <f>IF($H138="","",$H138*'設定'!$C$4)</f>
        <v/>
      </c>
      <c r="J138" s="13">
        <f>IF(N($C138)=0,"",N($D138)/$C138)</f>
        <v/>
      </c>
      <c r="K138" s="13">
        <f>IF(N($D138)=0,"",N($E138)/$D138)</f>
        <v/>
      </c>
    </row>
    <row r="139">
      <c r="A139" s="8" t="n"/>
      <c r="B139" s="7" t="n"/>
      <c r="C139" s="10" t="n"/>
      <c r="D139" s="11" t="n"/>
      <c r="E139" s="11" t="n"/>
      <c r="F139" s="11" t="n"/>
      <c r="G139" s="12">
        <f>IF($B139="","",IFERROR(INDEX('商品'!$C$4:$C$18,MATCH($B139,'商品'!$A$4:$A$18,0)),""))</f>
        <v/>
      </c>
      <c r="H139" s="12">
        <f>IF(OR($B139="",$G139=""),"",$G139*(N($D139)-N($F139)))</f>
        <v/>
      </c>
      <c r="I139" s="12">
        <f>IF($H139="","",$H139*'設定'!$C$4)</f>
        <v/>
      </c>
      <c r="J139" s="13">
        <f>IF(N($C139)=0,"",N($D139)/$C139)</f>
        <v/>
      </c>
      <c r="K139" s="13">
        <f>IF(N($D139)=0,"",N($E139)/$D139)</f>
        <v/>
      </c>
    </row>
    <row r="140">
      <c r="A140" s="8" t="n"/>
      <c r="B140" s="7" t="n"/>
      <c r="C140" s="10" t="n"/>
      <c r="D140" s="11" t="n"/>
      <c r="E140" s="11" t="n"/>
      <c r="F140" s="11" t="n"/>
      <c r="G140" s="12">
        <f>IF($B140="","",IFERROR(INDEX('商品'!$C$4:$C$18,MATCH($B140,'商品'!$A$4:$A$18,0)),""))</f>
        <v/>
      </c>
      <c r="H140" s="12">
        <f>IF(OR($B140="",$G140=""),"",$G140*(N($D140)-N($F140)))</f>
        <v/>
      </c>
      <c r="I140" s="12">
        <f>IF($H140="","",$H140*'設定'!$C$4)</f>
        <v/>
      </c>
      <c r="J140" s="13">
        <f>IF(N($C140)=0,"",N($D140)/$C140)</f>
        <v/>
      </c>
      <c r="K140" s="13">
        <f>IF(N($D140)=0,"",N($E140)/$D140)</f>
        <v/>
      </c>
    </row>
    <row r="141">
      <c r="A141" s="8" t="n"/>
      <c r="B141" s="7" t="n"/>
      <c r="C141" s="10" t="n"/>
      <c r="D141" s="11" t="n"/>
      <c r="E141" s="11" t="n"/>
      <c r="F141" s="11" t="n"/>
      <c r="G141" s="12">
        <f>IF($B141="","",IFERROR(INDEX('商品'!$C$4:$C$18,MATCH($B141,'商品'!$A$4:$A$18,0)),""))</f>
        <v/>
      </c>
      <c r="H141" s="12">
        <f>IF(OR($B141="",$G141=""),"",$G141*(N($D141)-N($F141)))</f>
        <v/>
      </c>
      <c r="I141" s="12">
        <f>IF($H141="","",$H141*'設定'!$C$4)</f>
        <v/>
      </c>
      <c r="J141" s="13">
        <f>IF(N($C141)=0,"",N($D141)/$C141)</f>
        <v/>
      </c>
      <c r="K141" s="13">
        <f>IF(N($D141)=0,"",N($E141)/$D141)</f>
        <v/>
      </c>
    </row>
    <row r="142">
      <c r="A142" s="8" t="n"/>
      <c r="B142" s="7" t="n"/>
      <c r="C142" s="10" t="n"/>
      <c r="D142" s="11" t="n"/>
      <c r="E142" s="11" t="n"/>
      <c r="F142" s="11" t="n"/>
      <c r="G142" s="12">
        <f>IF($B142="","",IFERROR(INDEX('商品'!$C$4:$C$18,MATCH($B142,'商品'!$A$4:$A$18,0)),""))</f>
        <v/>
      </c>
      <c r="H142" s="12">
        <f>IF(OR($B142="",$G142=""),"",$G142*(N($D142)-N($F142)))</f>
        <v/>
      </c>
      <c r="I142" s="12">
        <f>IF($H142="","",$H142*'設定'!$C$4)</f>
        <v/>
      </c>
      <c r="J142" s="13">
        <f>IF(N($C142)=0,"",N($D142)/$C142)</f>
        <v/>
      </c>
      <c r="K142" s="13">
        <f>IF(N($D142)=0,"",N($E142)/$D142)</f>
        <v/>
      </c>
    </row>
    <row r="143">
      <c r="A143" s="8" t="n"/>
      <c r="B143" s="7" t="n"/>
      <c r="C143" s="10" t="n"/>
      <c r="D143" s="11" t="n"/>
      <c r="E143" s="11" t="n"/>
      <c r="F143" s="11" t="n"/>
      <c r="G143" s="12">
        <f>IF($B143="","",IFERROR(INDEX('商品'!$C$4:$C$18,MATCH($B143,'商品'!$A$4:$A$18,0)),""))</f>
        <v/>
      </c>
      <c r="H143" s="12">
        <f>IF(OR($B143="",$G143=""),"",$G143*(N($D143)-N($F143)))</f>
        <v/>
      </c>
      <c r="I143" s="12">
        <f>IF($H143="","",$H143*'設定'!$C$4)</f>
        <v/>
      </c>
      <c r="J143" s="13">
        <f>IF(N($C143)=0,"",N($D143)/$C143)</f>
        <v/>
      </c>
      <c r="K143" s="13">
        <f>IF(N($D143)=0,"",N($E143)/$D143)</f>
        <v/>
      </c>
    </row>
    <row r="144">
      <c r="A144" s="8" t="n"/>
      <c r="B144" s="7" t="n"/>
      <c r="C144" s="10" t="n"/>
      <c r="D144" s="11" t="n"/>
      <c r="E144" s="11" t="n"/>
      <c r="F144" s="11" t="n"/>
      <c r="G144" s="12">
        <f>IF($B144="","",IFERROR(INDEX('商品'!$C$4:$C$18,MATCH($B144,'商品'!$A$4:$A$18,0)),""))</f>
        <v/>
      </c>
      <c r="H144" s="12">
        <f>IF(OR($B144="",$G144=""),"",$G144*(N($D144)-N($F144)))</f>
        <v/>
      </c>
      <c r="I144" s="12">
        <f>IF($H144="","",$H144*'設定'!$C$4)</f>
        <v/>
      </c>
      <c r="J144" s="13">
        <f>IF(N($C144)=0,"",N($D144)/$C144)</f>
        <v/>
      </c>
      <c r="K144" s="13">
        <f>IF(N($D144)=0,"",N($E144)/$D144)</f>
        <v/>
      </c>
    </row>
    <row r="145">
      <c r="A145" s="8" t="n"/>
      <c r="B145" s="7" t="n"/>
      <c r="C145" s="10" t="n"/>
      <c r="D145" s="11" t="n"/>
      <c r="E145" s="11" t="n"/>
      <c r="F145" s="11" t="n"/>
      <c r="G145" s="12">
        <f>IF($B145="","",IFERROR(INDEX('商品'!$C$4:$C$18,MATCH($B145,'商品'!$A$4:$A$18,0)),""))</f>
        <v/>
      </c>
      <c r="H145" s="12">
        <f>IF(OR($B145="",$G145=""),"",$G145*(N($D145)-N($F145)))</f>
        <v/>
      </c>
      <c r="I145" s="12">
        <f>IF($H145="","",$H145*'設定'!$C$4)</f>
        <v/>
      </c>
      <c r="J145" s="13">
        <f>IF(N($C145)=0,"",N($D145)/$C145)</f>
        <v/>
      </c>
      <c r="K145" s="13">
        <f>IF(N($D145)=0,"",N($E145)/$D145)</f>
        <v/>
      </c>
    </row>
    <row r="146">
      <c r="A146" s="8" t="n"/>
      <c r="B146" s="7" t="n"/>
      <c r="C146" s="10" t="n"/>
      <c r="D146" s="11" t="n"/>
      <c r="E146" s="11" t="n"/>
      <c r="F146" s="11" t="n"/>
      <c r="G146" s="12">
        <f>IF($B146="","",IFERROR(INDEX('商品'!$C$4:$C$18,MATCH($B146,'商品'!$A$4:$A$18,0)),""))</f>
        <v/>
      </c>
      <c r="H146" s="12">
        <f>IF(OR($B146="",$G146=""),"",$G146*(N($D146)-N($F146)))</f>
        <v/>
      </c>
      <c r="I146" s="12">
        <f>IF($H146="","",$H146*'設定'!$C$4)</f>
        <v/>
      </c>
      <c r="J146" s="13">
        <f>IF(N($C146)=0,"",N($D146)/$C146)</f>
        <v/>
      </c>
      <c r="K146" s="13">
        <f>IF(N($D146)=0,"",N($E146)/$D146)</f>
        <v/>
      </c>
    </row>
    <row r="147">
      <c r="A147" s="8" t="n"/>
      <c r="B147" s="7" t="n"/>
      <c r="C147" s="10" t="n"/>
      <c r="D147" s="11" t="n"/>
      <c r="E147" s="11" t="n"/>
      <c r="F147" s="11" t="n"/>
      <c r="G147" s="12">
        <f>IF($B147="","",IFERROR(INDEX('商品'!$C$4:$C$18,MATCH($B147,'商品'!$A$4:$A$18,0)),""))</f>
        <v/>
      </c>
      <c r="H147" s="12">
        <f>IF(OR($B147="",$G147=""),"",$G147*(N($D147)-N($F147)))</f>
        <v/>
      </c>
      <c r="I147" s="12">
        <f>IF($H147="","",$H147*'設定'!$C$4)</f>
        <v/>
      </c>
      <c r="J147" s="13">
        <f>IF(N($C147)=0,"",N($D147)/$C147)</f>
        <v/>
      </c>
      <c r="K147" s="13">
        <f>IF(N($D147)=0,"",N($E147)/$D147)</f>
        <v/>
      </c>
    </row>
    <row r="148">
      <c r="A148" s="8" t="n"/>
      <c r="B148" s="7" t="n"/>
      <c r="C148" s="10" t="n"/>
      <c r="D148" s="11" t="n"/>
      <c r="E148" s="11" t="n"/>
      <c r="F148" s="11" t="n"/>
      <c r="G148" s="12">
        <f>IF($B148="","",IFERROR(INDEX('商品'!$C$4:$C$18,MATCH($B148,'商品'!$A$4:$A$18,0)),""))</f>
        <v/>
      </c>
      <c r="H148" s="12">
        <f>IF(OR($B148="",$G148=""),"",$G148*(N($D148)-N($F148)))</f>
        <v/>
      </c>
      <c r="I148" s="12">
        <f>IF($H148="","",$H148*'設定'!$C$4)</f>
        <v/>
      </c>
      <c r="J148" s="13">
        <f>IF(N($C148)=0,"",N($D148)/$C148)</f>
        <v/>
      </c>
      <c r="K148" s="13">
        <f>IF(N($D148)=0,"",N($E148)/$D148)</f>
        <v/>
      </c>
    </row>
    <row r="149">
      <c r="A149" s="8" t="n"/>
      <c r="B149" s="7" t="n"/>
      <c r="C149" s="10" t="n"/>
      <c r="D149" s="11" t="n"/>
      <c r="E149" s="11" t="n"/>
      <c r="F149" s="11" t="n"/>
      <c r="G149" s="12">
        <f>IF($B149="","",IFERROR(INDEX('商品'!$C$4:$C$18,MATCH($B149,'商品'!$A$4:$A$18,0)),""))</f>
        <v/>
      </c>
      <c r="H149" s="12">
        <f>IF(OR($B149="",$G149=""),"",$G149*(N($D149)-N($F149)))</f>
        <v/>
      </c>
      <c r="I149" s="12">
        <f>IF($H149="","",$H149*'設定'!$C$4)</f>
        <v/>
      </c>
      <c r="J149" s="13">
        <f>IF(N($C149)=0,"",N($D149)/$C149)</f>
        <v/>
      </c>
      <c r="K149" s="13">
        <f>IF(N($D149)=0,"",N($E149)/$D149)</f>
        <v/>
      </c>
    </row>
    <row r="150">
      <c r="A150" s="8" t="n"/>
      <c r="B150" s="7" t="n"/>
      <c r="C150" s="10" t="n"/>
      <c r="D150" s="11" t="n"/>
      <c r="E150" s="11" t="n"/>
      <c r="F150" s="11" t="n"/>
      <c r="G150" s="12">
        <f>IF($B150="","",IFERROR(INDEX('商品'!$C$4:$C$18,MATCH($B150,'商品'!$A$4:$A$18,0)),""))</f>
        <v/>
      </c>
      <c r="H150" s="12">
        <f>IF(OR($B150="",$G150=""),"",$G150*(N($D150)-N($F150)))</f>
        <v/>
      </c>
      <c r="I150" s="12">
        <f>IF($H150="","",$H150*'設定'!$C$4)</f>
        <v/>
      </c>
      <c r="J150" s="13">
        <f>IF(N($C150)=0,"",N($D150)/$C150)</f>
        <v/>
      </c>
      <c r="K150" s="13">
        <f>IF(N($D150)=0,"",N($E150)/$D150)</f>
        <v/>
      </c>
    </row>
    <row r="151">
      <c r="A151" s="8" t="n"/>
      <c r="B151" s="7" t="n"/>
      <c r="C151" s="10" t="n"/>
      <c r="D151" s="11" t="n"/>
      <c r="E151" s="11" t="n"/>
      <c r="F151" s="11" t="n"/>
      <c r="G151" s="12">
        <f>IF($B151="","",IFERROR(INDEX('商品'!$C$4:$C$18,MATCH($B151,'商品'!$A$4:$A$18,0)),""))</f>
        <v/>
      </c>
      <c r="H151" s="12">
        <f>IF(OR($B151="",$G151=""),"",$G151*(N($D151)-N($F151)))</f>
        <v/>
      </c>
      <c r="I151" s="12">
        <f>IF($H151="","",$H151*'設定'!$C$4)</f>
        <v/>
      </c>
      <c r="J151" s="13">
        <f>IF(N($C151)=0,"",N($D151)/$C151)</f>
        <v/>
      </c>
      <c r="K151" s="13">
        <f>IF(N($D151)=0,"",N($E151)/$D151)</f>
        <v/>
      </c>
    </row>
    <row r="152">
      <c r="A152" s="8" t="n"/>
      <c r="B152" s="7" t="n"/>
      <c r="C152" s="10" t="n"/>
      <c r="D152" s="11" t="n"/>
      <c r="E152" s="11" t="n"/>
      <c r="F152" s="11" t="n"/>
      <c r="G152" s="12">
        <f>IF($B152="","",IFERROR(INDEX('商品'!$C$4:$C$18,MATCH($B152,'商品'!$A$4:$A$18,0)),""))</f>
        <v/>
      </c>
      <c r="H152" s="12">
        <f>IF(OR($B152="",$G152=""),"",$G152*(N($D152)-N($F152)))</f>
        <v/>
      </c>
      <c r="I152" s="12">
        <f>IF($H152="","",$H152*'設定'!$C$4)</f>
        <v/>
      </c>
      <c r="J152" s="13">
        <f>IF(N($C152)=0,"",N($D152)/$C152)</f>
        <v/>
      </c>
      <c r="K152" s="13">
        <f>IF(N($D152)=0,"",N($E152)/$D152)</f>
        <v/>
      </c>
    </row>
    <row r="153">
      <c r="A153" s="8" t="n"/>
      <c r="B153" s="7" t="n"/>
      <c r="C153" s="10" t="n"/>
      <c r="D153" s="11" t="n"/>
      <c r="E153" s="11" t="n"/>
      <c r="F153" s="11" t="n"/>
      <c r="G153" s="12">
        <f>IF($B153="","",IFERROR(INDEX('商品'!$C$4:$C$18,MATCH($B153,'商品'!$A$4:$A$18,0)),""))</f>
        <v/>
      </c>
      <c r="H153" s="12">
        <f>IF(OR($B153="",$G153=""),"",$G153*(N($D153)-N($F153)))</f>
        <v/>
      </c>
      <c r="I153" s="12">
        <f>IF($H153="","",$H153*'設定'!$C$4)</f>
        <v/>
      </c>
      <c r="J153" s="13">
        <f>IF(N($C153)=0,"",N($D153)/$C153)</f>
        <v/>
      </c>
      <c r="K153" s="13">
        <f>IF(N($D153)=0,"",N($E153)/$D153)</f>
        <v/>
      </c>
    </row>
    <row r="154">
      <c r="A154" s="8" t="n"/>
      <c r="B154" s="7" t="n"/>
      <c r="C154" s="10" t="n"/>
      <c r="D154" s="11" t="n"/>
      <c r="E154" s="11" t="n"/>
      <c r="F154" s="11" t="n"/>
      <c r="G154" s="12">
        <f>IF($B154="","",IFERROR(INDEX('商品'!$C$4:$C$18,MATCH($B154,'商品'!$A$4:$A$18,0)),""))</f>
        <v/>
      </c>
      <c r="H154" s="12">
        <f>IF(OR($B154="",$G154=""),"",$G154*(N($D154)-N($F154)))</f>
        <v/>
      </c>
      <c r="I154" s="12">
        <f>IF($H154="","",$H154*'設定'!$C$4)</f>
        <v/>
      </c>
      <c r="J154" s="13">
        <f>IF(N($C154)=0,"",N($D154)/$C154)</f>
        <v/>
      </c>
      <c r="K154" s="13">
        <f>IF(N($D154)=0,"",N($E154)/$D154)</f>
        <v/>
      </c>
    </row>
    <row r="155">
      <c r="A155" s="8" t="n"/>
      <c r="B155" s="7" t="n"/>
      <c r="C155" s="10" t="n"/>
      <c r="D155" s="11" t="n"/>
      <c r="E155" s="11" t="n"/>
      <c r="F155" s="11" t="n"/>
      <c r="G155" s="12">
        <f>IF($B155="","",IFERROR(INDEX('商品'!$C$4:$C$18,MATCH($B155,'商品'!$A$4:$A$18,0)),""))</f>
        <v/>
      </c>
      <c r="H155" s="12">
        <f>IF(OR($B155="",$G155=""),"",$G155*(N($D155)-N($F155)))</f>
        <v/>
      </c>
      <c r="I155" s="12">
        <f>IF($H155="","",$H155*'設定'!$C$4)</f>
        <v/>
      </c>
      <c r="J155" s="13">
        <f>IF(N($C155)=0,"",N($D155)/$C155)</f>
        <v/>
      </c>
      <c r="K155" s="13">
        <f>IF(N($D155)=0,"",N($E155)/$D155)</f>
        <v/>
      </c>
    </row>
    <row r="156">
      <c r="A156" s="8" t="n"/>
      <c r="B156" s="7" t="n"/>
      <c r="C156" s="10" t="n"/>
      <c r="D156" s="11" t="n"/>
      <c r="E156" s="11" t="n"/>
      <c r="F156" s="11" t="n"/>
      <c r="G156" s="12">
        <f>IF($B156="","",IFERROR(INDEX('商品'!$C$4:$C$18,MATCH($B156,'商品'!$A$4:$A$18,0)),""))</f>
        <v/>
      </c>
      <c r="H156" s="12">
        <f>IF(OR($B156="",$G156=""),"",$G156*(N($D156)-N($F156)))</f>
        <v/>
      </c>
      <c r="I156" s="12">
        <f>IF($H156="","",$H156*'設定'!$C$4)</f>
        <v/>
      </c>
      <c r="J156" s="13">
        <f>IF(N($C156)=0,"",N($D156)/$C156)</f>
        <v/>
      </c>
      <c r="K156" s="13">
        <f>IF(N($D156)=0,"",N($E156)/$D156)</f>
        <v/>
      </c>
    </row>
    <row r="157">
      <c r="A157" s="8" t="n"/>
      <c r="B157" s="7" t="n"/>
      <c r="C157" s="10" t="n"/>
      <c r="D157" s="11" t="n"/>
      <c r="E157" s="11" t="n"/>
      <c r="F157" s="11" t="n"/>
      <c r="G157" s="12">
        <f>IF($B157="","",IFERROR(INDEX('商品'!$C$4:$C$18,MATCH($B157,'商品'!$A$4:$A$18,0)),""))</f>
        <v/>
      </c>
      <c r="H157" s="12">
        <f>IF(OR($B157="",$G157=""),"",$G157*(N($D157)-N($F157)))</f>
        <v/>
      </c>
      <c r="I157" s="12">
        <f>IF($H157="","",$H157*'設定'!$C$4)</f>
        <v/>
      </c>
      <c r="J157" s="13">
        <f>IF(N($C157)=0,"",N($D157)/$C157)</f>
        <v/>
      </c>
      <c r="K157" s="13">
        <f>IF(N($D157)=0,"",N($E157)/$D157)</f>
        <v/>
      </c>
    </row>
    <row r="158">
      <c r="A158" s="8" t="n"/>
      <c r="B158" s="7" t="n"/>
      <c r="C158" s="10" t="n"/>
      <c r="D158" s="11" t="n"/>
      <c r="E158" s="11" t="n"/>
      <c r="F158" s="11" t="n"/>
      <c r="G158" s="12">
        <f>IF($B158="","",IFERROR(INDEX('商品'!$C$4:$C$18,MATCH($B158,'商品'!$A$4:$A$18,0)),""))</f>
        <v/>
      </c>
      <c r="H158" s="12">
        <f>IF(OR($B158="",$G158=""),"",$G158*(N($D158)-N($F158)))</f>
        <v/>
      </c>
      <c r="I158" s="12">
        <f>IF($H158="","",$H158*'設定'!$C$4)</f>
        <v/>
      </c>
      <c r="J158" s="13">
        <f>IF(N($C158)=0,"",N($D158)/$C158)</f>
        <v/>
      </c>
      <c r="K158" s="13">
        <f>IF(N($D158)=0,"",N($E158)/$D158)</f>
        <v/>
      </c>
    </row>
    <row r="159">
      <c r="A159" s="8" t="n"/>
      <c r="B159" s="7" t="n"/>
      <c r="C159" s="10" t="n"/>
      <c r="D159" s="11" t="n"/>
      <c r="E159" s="11" t="n"/>
      <c r="F159" s="11" t="n"/>
      <c r="G159" s="12">
        <f>IF($B159="","",IFERROR(INDEX('商品'!$C$4:$C$18,MATCH($B159,'商品'!$A$4:$A$18,0)),""))</f>
        <v/>
      </c>
      <c r="H159" s="12">
        <f>IF(OR($B159="",$G159=""),"",$G159*(N($D159)-N($F159)))</f>
        <v/>
      </c>
      <c r="I159" s="12">
        <f>IF($H159="","",$H159*'設定'!$C$4)</f>
        <v/>
      </c>
      <c r="J159" s="13">
        <f>IF(N($C159)=0,"",N($D159)/$C159)</f>
        <v/>
      </c>
      <c r="K159" s="13">
        <f>IF(N($D159)=0,"",N($E159)/$D159)</f>
        <v/>
      </c>
    </row>
    <row r="160">
      <c r="A160" s="8" t="n"/>
      <c r="B160" s="7" t="n"/>
      <c r="C160" s="10" t="n"/>
      <c r="D160" s="11" t="n"/>
      <c r="E160" s="11" t="n"/>
      <c r="F160" s="11" t="n"/>
      <c r="G160" s="12">
        <f>IF($B160="","",IFERROR(INDEX('商品'!$C$4:$C$18,MATCH($B160,'商品'!$A$4:$A$18,0)),""))</f>
        <v/>
      </c>
      <c r="H160" s="12">
        <f>IF(OR($B160="",$G160=""),"",$G160*(N($D160)-N($F160)))</f>
        <v/>
      </c>
      <c r="I160" s="12">
        <f>IF($H160="","",$H160*'設定'!$C$4)</f>
        <v/>
      </c>
      <c r="J160" s="13">
        <f>IF(N($C160)=0,"",N($D160)/$C160)</f>
        <v/>
      </c>
      <c r="K160" s="13">
        <f>IF(N($D160)=0,"",N($E160)/$D160)</f>
        <v/>
      </c>
    </row>
    <row r="161">
      <c r="A161" s="8" t="n"/>
      <c r="B161" s="7" t="n"/>
      <c r="C161" s="10" t="n"/>
      <c r="D161" s="11" t="n"/>
      <c r="E161" s="11" t="n"/>
      <c r="F161" s="11" t="n"/>
      <c r="G161" s="12">
        <f>IF($B161="","",IFERROR(INDEX('商品'!$C$4:$C$18,MATCH($B161,'商品'!$A$4:$A$18,0)),""))</f>
        <v/>
      </c>
      <c r="H161" s="12">
        <f>IF(OR($B161="",$G161=""),"",$G161*(N($D161)-N($F161)))</f>
        <v/>
      </c>
      <c r="I161" s="12">
        <f>IF($H161="","",$H161*'設定'!$C$4)</f>
        <v/>
      </c>
      <c r="J161" s="13">
        <f>IF(N($C161)=0,"",N($D161)/$C161)</f>
        <v/>
      </c>
      <c r="K161" s="13">
        <f>IF(N($D161)=0,"",N($E161)/$D161)</f>
        <v/>
      </c>
    </row>
    <row r="162">
      <c r="A162" s="8" t="n"/>
      <c r="B162" s="7" t="n"/>
      <c r="C162" s="10" t="n"/>
      <c r="D162" s="11" t="n"/>
      <c r="E162" s="11" t="n"/>
      <c r="F162" s="11" t="n"/>
      <c r="G162" s="12">
        <f>IF($B162="","",IFERROR(INDEX('商品'!$C$4:$C$18,MATCH($B162,'商品'!$A$4:$A$18,0)),""))</f>
        <v/>
      </c>
      <c r="H162" s="12">
        <f>IF(OR($B162="",$G162=""),"",$G162*(N($D162)-N($F162)))</f>
        <v/>
      </c>
      <c r="I162" s="12">
        <f>IF($H162="","",$H162*'設定'!$C$4)</f>
        <v/>
      </c>
      <c r="J162" s="13">
        <f>IF(N($C162)=0,"",N($D162)/$C162)</f>
        <v/>
      </c>
      <c r="K162" s="13">
        <f>IF(N($D162)=0,"",N($E162)/$D162)</f>
        <v/>
      </c>
    </row>
    <row r="163">
      <c r="A163" s="8" t="n"/>
      <c r="B163" s="7" t="n"/>
      <c r="C163" s="10" t="n"/>
      <c r="D163" s="11" t="n"/>
      <c r="E163" s="11" t="n"/>
      <c r="F163" s="11" t="n"/>
      <c r="G163" s="12">
        <f>IF($B163="","",IFERROR(INDEX('商品'!$C$4:$C$18,MATCH($B163,'商品'!$A$4:$A$18,0)),""))</f>
        <v/>
      </c>
      <c r="H163" s="12">
        <f>IF(OR($B163="",$G163=""),"",$G163*(N($D163)-N($F163)))</f>
        <v/>
      </c>
      <c r="I163" s="12">
        <f>IF($H163="","",$H163*'設定'!$C$4)</f>
        <v/>
      </c>
      <c r="J163" s="13">
        <f>IF(N($C163)=0,"",N($D163)/$C163)</f>
        <v/>
      </c>
      <c r="K163" s="13">
        <f>IF(N($D163)=0,"",N($E163)/$D163)</f>
        <v/>
      </c>
    </row>
    <row r="164">
      <c r="A164" s="8" t="n"/>
      <c r="B164" s="7" t="n"/>
      <c r="C164" s="10" t="n"/>
      <c r="D164" s="11" t="n"/>
      <c r="E164" s="11" t="n"/>
      <c r="F164" s="11" t="n"/>
      <c r="G164" s="12">
        <f>IF($B164="","",IFERROR(INDEX('商品'!$C$4:$C$18,MATCH($B164,'商品'!$A$4:$A$18,0)),""))</f>
        <v/>
      </c>
      <c r="H164" s="12">
        <f>IF(OR($B164="",$G164=""),"",$G164*(N($D164)-N($F164)))</f>
        <v/>
      </c>
      <c r="I164" s="12">
        <f>IF($H164="","",$H164*'設定'!$C$4)</f>
        <v/>
      </c>
      <c r="J164" s="13">
        <f>IF(N($C164)=0,"",N($D164)/$C164)</f>
        <v/>
      </c>
      <c r="K164" s="13">
        <f>IF(N($D164)=0,"",N($E164)/$D164)</f>
        <v/>
      </c>
    </row>
    <row r="165">
      <c r="A165" s="8" t="n"/>
      <c r="B165" s="7" t="n"/>
      <c r="C165" s="10" t="n"/>
      <c r="D165" s="11" t="n"/>
      <c r="E165" s="11" t="n"/>
      <c r="F165" s="11" t="n"/>
      <c r="G165" s="12">
        <f>IF($B165="","",IFERROR(INDEX('商品'!$C$4:$C$18,MATCH($B165,'商品'!$A$4:$A$18,0)),""))</f>
        <v/>
      </c>
      <c r="H165" s="12">
        <f>IF(OR($B165="",$G165=""),"",$G165*(N($D165)-N($F165)))</f>
        <v/>
      </c>
      <c r="I165" s="12">
        <f>IF($H165="","",$H165*'設定'!$C$4)</f>
        <v/>
      </c>
      <c r="J165" s="13">
        <f>IF(N($C165)=0,"",N($D165)/$C165)</f>
        <v/>
      </c>
      <c r="K165" s="13">
        <f>IF(N($D165)=0,"",N($E165)/$D165)</f>
        <v/>
      </c>
    </row>
    <row r="166">
      <c r="A166" s="8" t="n"/>
      <c r="B166" s="7" t="n"/>
      <c r="C166" s="10" t="n"/>
      <c r="D166" s="11" t="n"/>
      <c r="E166" s="11" t="n"/>
      <c r="F166" s="11" t="n"/>
      <c r="G166" s="12">
        <f>IF($B166="","",IFERROR(INDEX('商品'!$C$4:$C$18,MATCH($B166,'商品'!$A$4:$A$18,0)),""))</f>
        <v/>
      </c>
      <c r="H166" s="12">
        <f>IF(OR($B166="",$G166=""),"",$G166*(N($D166)-N($F166)))</f>
        <v/>
      </c>
      <c r="I166" s="12">
        <f>IF($H166="","",$H166*'設定'!$C$4)</f>
        <v/>
      </c>
      <c r="J166" s="13">
        <f>IF(N($C166)=0,"",N($D166)/$C166)</f>
        <v/>
      </c>
      <c r="K166" s="13">
        <f>IF(N($D166)=0,"",N($E166)/$D166)</f>
        <v/>
      </c>
    </row>
    <row r="167">
      <c r="A167" s="8" t="n"/>
      <c r="B167" s="7" t="n"/>
      <c r="C167" s="10" t="n"/>
      <c r="D167" s="11" t="n"/>
      <c r="E167" s="11" t="n"/>
      <c r="F167" s="11" t="n"/>
      <c r="G167" s="12">
        <f>IF($B167="","",IFERROR(INDEX('商品'!$C$4:$C$18,MATCH($B167,'商品'!$A$4:$A$18,0)),""))</f>
        <v/>
      </c>
      <c r="H167" s="12">
        <f>IF(OR($B167="",$G167=""),"",$G167*(N($D167)-N($F167)))</f>
        <v/>
      </c>
      <c r="I167" s="12">
        <f>IF($H167="","",$H167*'設定'!$C$4)</f>
        <v/>
      </c>
      <c r="J167" s="13">
        <f>IF(N($C167)=0,"",N($D167)/$C167)</f>
        <v/>
      </c>
      <c r="K167" s="13">
        <f>IF(N($D167)=0,"",N($E167)/$D167)</f>
        <v/>
      </c>
    </row>
    <row r="168">
      <c r="A168" s="8" t="n"/>
      <c r="B168" s="7" t="n"/>
      <c r="C168" s="10" t="n"/>
      <c r="D168" s="11" t="n"/>
      <c r="E168" s="11" t="n"/>
      <c r="F168" s="11" t="n"/>
      <c r="G168" s="12">
        <f>IF($B168="","",IFERROR(INDEX('商品'!$C$4:$C$18,MATCH($B168,'商品'!$A$4:$A$18,0)),""))</f>
        <v/>
      </c>
      <c r="H168" s="12">
        <f>IF(OR($B168="",$G168=""),"",$G168*(N($D168)-N($F168)))</f>
        <v/>
      </c>
      <c r="I168" s="12">
        <f>IF($H168="","",$H168*'設定'!$C$4)</f>
        <v/>
      </c>
      <c r="J168" s="13">
        <f>IF(N($C168)=0,"",N($D168)/$C168)</f>
        <v/>
      </c>
      <c r="K168" s="13">
        <f>IF(N($D168)=0,"",N($E168)/$D168)</f>
        <v/>
      </c>
    </row>
    <row r="169">
      <c r="A169" s="8" t="n"/>
      <c r="B169" s="7" t="n"/>
      <c r="C169" s="10" t="n"/>
      <c r="D169" s="11" t="n"/>
      <c r="E169" s="11" t="n"/>
      <c r="F169" s="11" t="n"/>
      <c r="G169" s="12">
        <f>IF($B169="","",IFERROR(INDEX('商品'!$C$4:$C$18,MATCH($B169,'商品'!$A$4:$A$18,0)),""))</f>
        <v/>
      </c>
      <c r="H169" s="12">
        <f>IF(OR($B169="",$G169=""),"",$G169*(N($D169)-N($F169)))</f>
        <v/>
      </c>
      <c r="I169" s="12">
        <f>IF($H169="","",$H169*'設定'!$C$4)</f>
        <v/>
      </c>
      <c r="J169" s="13">
        <f>IF(N($C169)=0,"",N($D169)/$C169)</f>
        <v/>
      </c>
      <c r="K169" s="13">
        <f>IF(N($D169)=0,"",N($E169)/$D169)</f>
        <v/>
      </c>
    </row>
    <row r="170">
      <c r="A170" s="8" t="n"/>
      <c r="B170" s="7" t="n"/>
      <c r="C170" s="10" t="n"/>
      <c r="D170" s="11" t="n"/>
      <c r="E170" s="11" t="n"/>
      <c r="F170" s="11" t="n"/>
      <c r="G170" s="12">
        <f>IF($B170="","",IFERROR(INDEX('商品'!$C$4:$C$18,MATCH($B170,'商品'!$A$4:$A$18,0)),""))</f>
        <v/>
      </c>
      <c r="H170" s="12">
        <f>IF(OR($B170="",$G170=""),"",$G170*(N($D170)-N($F170)))</f>
        <v/>
      </c>
      <c r="I170" s="12">
        <f>IF($H170="","",$H170*'設定'!$C$4)</f>
        <v/>
      </c>
      <c r="J170" s="13">
        <f>IF(N($C170)=0,"",N($D170)/$C170)</f>
        <v/>
      </c>
      <c r="K170" s="13">
        <f>IF(N($D170)=0,"",N($E170)/$D170)</f>
        <v/>
      </c>
    </row>
    <row r="171">
      <c r="A171" s="8" t="n"/>
      <c r="B171" s="7" t="n"/>
      <c r="C171" s="10" t="n"/>
      <c r="D171" s="11" t="n"/>
      <c r="E171" s="11" t="n"/>
      <c r="F171" s="11" t="n"/>
      <c r="G171" s="12">
        <f>IF($B171="","",IFERROR(INDEX('商品'!$C$4:$C$18,MATCH($B171,'商品'!$A$4:$A$18,0)),""))</f>
        <v/>
      </c>
      <c r="H171" s="12">
        <f>IF(OR($B171="",$G171=""),"",$G171*(N($D171)-N($F171)))</f>
        <v/>
      </c>
      <c r="I171" s="12">
        <f>IF($H171="","",$H171*'設定'!$C$4)</f>
        <v/>
      </c>
      <c r="J171" s="13">
        <f>IF(N($C171)=0,"",N($D171)/$C171)</f>
        <v/>
      </c>
      <c r="K171" s="13">
        <f>IF(N($D171)=0,"",N($E171)/$D171)</f>
        <v/>
      </c>
    </row>
    <row r="172">
      <c r="A172" s="8" t="n"/>
      <c r="B172" s="7" t="n"/>
      <c r="C172" s="10" t="n"/>
      <c r="D172" s="11" t="n"/>
      <c r="E172" s="11" t="n"/>
      <c r="F172" s="11" t="n"/>
      <c r="G172" s="12">
        <f>IF($B172="","",IFERROR(INDEX('商品'!$C$4:$C$18,MATCH($B172,'商品'!$A$4:$A$18,0)),""))</f>
        <v/>
      </c>
      <c r="H172" s="12">
        <f>IF(OR($B172="",$G172=""),"",$G172*(N($D172)-N($F172)))</f>
        <v/>
      </c>
      <c r="I172" s="12">
        <f>IF($H172="","",$H172*'設定'!$C$4)</f>
        <v/>
      </c>
      <c r="J172" s="13">
        <f>IF(N($C172)=0,"",N($D172)/$C172)</f>
        <v/>
      </c>
      <c r="K172" s="13">
        <f>IF(N($D172)=0,"",N($E172)/$D172)</f>
        <v/>
      </c>
    </row>
    <row r="173">
      <c r="A173" s="8" t="n"/>
      <c r="B173" s="7" t="n"/>
      <c r="C173" s="10" t="n"/>
      <c r="D173" s="11" t="n"/>
      <c r="E173" s="11" t="n"/>
      <c r="F173" s="11" t="n"/>
      <c r="G173" s="12">
        <f>IF($B173="","",IFERROR(INDEX('商品'!$C$4:$C$18,MATCH($B173,'商品'!$A$4:$A$18,0)),""))</f>
        <v/>
      </c>
      <c r="H173" s="12">
        <f>IF(OR($B173="",$G173=""),"",$G173*(N($D173)-N($F173)))</f>
        <v/>
      </c>
      <c r="I173" s="12">
        <f>IF($H173="","",$H173*'設定'!$C$4)</f>
        <v/>
      </c>
      <c r="J173" s="13">
        <f>IF(N($C173)=0,"",N($D173)/$C173)</f>
        <v/>
      </c>
      <c r="K173" s="13">
        <f>IF(N($D173)=0,"",N($E173)/$D173)</f>
        <v/>
      </c>
    </row>
    <row r="174">
      <c r="A174" s="8" t="n"/>
      <c r="B174" s="7" t="n"/>
      <c r="C174" s="10" t="n"/>
      <c r="D174" s="11" t="n"/>
      <c r="E174" s="11" t="n"/>
      <c r="F174" s="11" t="n"/>
      <c r="G174" s="12">
        <f>IF($B174="","",IFERROR(INDEX('商品'!$C$4:$C$18,MATCH($B174,'商品'!$A$4:$A$18,0)),""))</f>
        <v/>
      </c>
      <c r="H174" s="12">
        <f>IF(OR($B174="",$G174=""),"",$G174*(N($D174)-N($F174)))</f>
        <v/>
      </c>
      <c r="I174" s="12">
        <f>IF($H174="","",$H174*'設定'!$C$4)</f>
        <v/>
      </c>
      <c r="J174" s="13">
        <f>IF(N($C174)=0,"",N($D174)/$C174)</f>
        <v/>
      </c>
      <c r="K174" s="13">
        <f>IF(N($D174)=0,"",N($E174)/$D174)</f>
        <v/>
      </c>
    </row>
    <row r="175">
      <c r="A175" s="8" t="n"/>
      <c r="B175" s="7" t="n"/>
      <c r="C175" s="10" t="n"/>
      <c r="D175" s="11" t="n"/>
      <c r="E175" s="11" t="n"/>
      <c r="F175" s="11" t="n"/>
      <c r="G175" s="12">
        <f>IF($B175="","",IFERROR(INDEX('商品'!$C$4:$C$18,MATCH($B175,'商品'!$A$4:$A$18,0)),""))</f>
        <v/>
      </c>
      <c r="H175" s="12">
        <f>IF(OR($B175="",$G175=""),"",$G175*(N($D175)-N($F175)))</f>
        <v/>
      </c>
      <c r="I175" s="12">
        <f>IF($H175="","",$H175*'設定'!$C$4)</f>
        <v/>
      </c>
      <c r="J175" s="13">
        <f>IF(N($C175)=0,"",N($D175)/$C175)</f>
        <v/>
      </c>
      <c r="K175" s="13">
        <f>IF(N($D175)=0,"",N($E175)/$D175)</f>
        <v/>
      </c>
    </row>
    <row r="176">
      <c r="A176" s="8" t="n"/>
      <c r="B176" s="7" t="n"/>
      <c r="C176" s="10" t="n"/>
      <c r="D176" s="11" t="n"/>
      <c r="E176" s="11" t="n"/>
      <c r="F176" s="11" t="n"/>
      <c r="G176" s="12">
        <f>IF($B176="","",IFERROR(INDEX('商品'!$C$4:$C$18,MATCH($B176,'商品'!$A$4:$A$18,0)),""))</f>
        <v/>
      </c>
      <c r="H176" s="12">
        <f>IF(OR($B176="",$G176=""),"",$G176*(N($D176)-N($F176)))</f>
        <v/>
      </c>
      <c r="I176" s="12">
        <f>IF($H176="","",$H176*'設定'!$C$4)</f>
        <v/>
      </c>
      <c r="J176" s="13">
        <f>IF(N($C176)=0,"",N($D176)/$C176)</f>
        <v/>
      </c>
      <c r="K176" s="13">
        <f>IF(N($D176)=0,"",N($E176)/$D176)</f>
        <v/>
      </c>
    </row>
    <row r="177">
      <c r="A177" s="8" t="n"/>
      <c r="B177" s="7" t="n"/>
      <c r="C177" s="10" t="n"/>
      <c r="D177" s="11" t="n"/>
      <c r="E177" s="11" t="n"/>
      <c r="F177" s="11" t="n"/>
      <c r="G177" s="12">
        <f>IF($B177="","",IFERROR(INDEX('商品'!$C$4:$C$18,MATCH($B177,'商品'!$A$4:$A$18,0)),""))</f>
        <v/>
      </c>
      <c r="H177" s="12">
        <f>IF(OR($B177="",$G177=""),"",$G177*(N($D177)-N($F177)))</f>
        <v/>
      </c>
      <c r="I177" s="12">
        <f>IF($H177="","",$H177*'設定'!$C$4)</f>
        <v/>
      </c>
      <c r="J177" s="13">
        <f>IF(N($C177)=0,"",N($D177)/$C177)</f>
        <v/>
      </c>
      <c r="K177" s="13">
        <f>IF(N($D177)=0,"",N($E177)/$D177)</f>
        <v/>
      </c>
    </row>
    <row r="178">
      <c r="A178" s="8" t="n"/>
      <c r="B178" s="7" t="n"/>
      <c r="C178" s="10" t="n"/>
      <c r="D178" s="11" t="n"/>
      <c r="E178" s="11" t="n"/>
      <c r="F178" s="11" t="n"/>
      <c r="G178" s="12">
        <f>IF($B178="","",IFERROR(INDEX('商品'!$C$4:$C$18,MATCH($B178,'商品'!$A$4:$A$18,0)),""))</f>
        <v/>
      </c>
      <c r="H178" s="12">
        <f>IF(OR($B178="",$G178=""),"",$G178*(N($D178)-N($F178)))</f>
        <v/>
      </c>
      <c r="I178" s="12">
        <f>IF($H178="","",$H178*'設定'!$C$4)</f>
        <v/>
      </c>
      <c r="J178" s="13">
        <f>IF(N($C178)=0,"",N($D178)/$C178)</f>
        <v/>
      </c>
      <c r="K178" s="13">
        <f>IF(N($D178)=0,"",N($E178)/$D178)</f>
        <v/>
      </c>
    </row>
    <row r="179">
      <c r="A179" s="8" t="n"/>
      <c r="B179" s="7" t="n"/>
      <c r="C179" s="10" t="n"/>
      <c r="D179" s="11" t="n"/>
      <c r="E179" s="11" t="n"/>
      <c r="F179" s="11" t="n"/>
      <c r="G179" s="12">
        <f>IF($B179="","",IFERROR(INDEX('商品'!$C$4:$C$18,MATCH($B179,'商品'!$A$4:$A$18,0)),""))</f>
        <v/>
      </c>
      <c r="H179" s="12">
        <f>IF(OR($B179="",$G179=""),"",$G179*(N($D179)-N($F179)))</f>
        <v/>
      </c>
      <c r="I179" s="12">
        <f>IF($H179="","",$H179*'設定'!$C$4)</f>
        <v/>
      </c>
      <c r="J179" s="13">
        <f>IF(N($C179)=0,"",N($D179)/$C179)</f>
        <v/>
      </c>
      <c r="K179" s="13">
        <f>IF(N($D179)=0,"",N($E179)/$D179)</f>
        <v/>
      </c>
    </row>
    <row r="180">
      <c r="A180" s="8" t="n"/>
      <c r="B180" s="7" t="n"/>
      <c r="C180" s="10" t="n"/>
      <c r="D180" s="11" t="n"/>
      <c r="E180" s="11" t="n"/>
      <c r="F180" s="11" t="n"/>
      <c r="G180" s="12">
        <f>IF($B180="","",IFERROR(INDEX('商品'!$C$4:$C$18,MATCH($B180,'商品'!$A$4:$A$18,0)),""))</f>
        <v/>
      </c>
      <c r="H180" s="12">
        <f>IF(OR($B180="",$G180=""),"",$G180*(N($D180)-N($F180)))</f>
        <v/>
      </c>
      <c r="I180" s="12">
        <f>IF($H180="","",$H180*'設定'!$C$4)</f>
        <v/>
      </c>
      <c r="J180" s="13">
        <f>IF(N($C180)=0,"",N($D180)/$C180)</f>
        <v/>
      </c>
      <c r="K180" s="13">
        <f>IF(N($D180)=0,"",N($E180)/$D180)</f>
        <v/>
      </c>
    </row>
    <row r="181">
      <c r="A181" s="8" t="n"/>
      <c r="B181" s="7" t="n"/>
      <c r="C181" s="10" t="n"/>
      <c r="D181" s="11" t="n"/>
      <c r="E181" s="11" t="n"/>
      <c r="F181" s="11" t="n"/>
      <c r="G181" s="12">
        <f>IF($B181="","",IFERROR(INDEX('商品'!$C$4:$C$18,MATCH($B181,'商品'!$A$4:$A$18,0)),""))</f>
        <v/>
      </c>
      <c r="H181" s="12">
        <f>IF(OR($B181="",$G181=""),"",$G181*(N($D181)-N($F181)))</f>
        <v/>
      </c>
      <c r="I181" s="12">
        <f>IF($H181="","",$H181*'設定'!$C$4)</f>
        <v/>
      </c>
      <c r="J181" s="13">
        <f>IF(N($C181)=0,"",N($D181)/$C181)</f>
        <v/>
      </c>
      <c r="K181" s="13">
        <f>IF(N($D181)=0,"",N($E181)/$D181)</f>
        <v/>
      </c>
    </row>
    <row r="182">
      <c r="A182" s="8" t="n"/>
      <c r="B182" s="7" t="n"/>
      <c r="C182" s="10" t="n"/>
      <c r="D182" s="11" t="n"/>
      <c r="E182" s="11" t="n"/>
      <c r="F182" s="11" t="n"/>
      <c r="G182" s="12">
        <f>IF($B182="","",IFERROR(INDEX('商品'!$C$4:$C$18,MATCH($B182,'商品'!$A$4:$A$18,0)),""))</f>
        <v/>
      </c>
      <c r="H182" s="12">
        <f>IF(OR($B182="",$G182=""),"",$G182*(N($D182)-N($F182)))</f>
        <v/>
      </c>
      <c r="I182" s="12">
        <f>IF($H182="","",$H182*'設定'!$C$4)</f>
        <v/>
      </c>
      <c r="J182" s="13">
        <f>IF(N($C182)=0,"",N($D182)/$C182)</f>
        <v/>
      </c>
      <c r="K182" s="13">
        <f>IF(N($D182)=0,"",N($E182)/$D182)</f>
        <v/>
      </c>
    </row>
    <row r="183">
      <c r="A183" s="8" t="n"/>
      <c r="B183" s="7" t="n"/>
      <c r="C183" s="10" t="n"/>
      <c r="D183" s="11" t="n"/>
      <c r="E183" s="11" t="n"/>
      <c r="F183" s="11" t="n"/>
      <c r="G183" s="12">
        <f>IF($B183="","",IFERROR(INDEX('商品'!$C$4:$C$18,MATCH($B183,'商品'!$A$4:$A$18,0)),""))</f>
        <v/>
      </c>
      <c r="H183" s="12">
        <f>IF(OR($B183="",$G183=""),"",$G183*(N($D183)-N($F183)))</f>
        <v/>
      </c>
      <c r="I183" s="12">
        <f>IF($H183="","",$H183*'設定'!$C$4)</f>
        <v/>
      </c>
      <c r="J183" s="13">
        <f>IF(N($C183)=0,"",N($D183)/$C183)</f>
        <v/>
      </c>
      <c r="K183" s="13">
        <f>IF(N($D183)=0,"",N($E183)/$D183)</f>
        <v/>
      </c>
    </row>
    <row r="184">
      <c r="A184" s="8" t="n"/>
      <c r="B184" s="7" t="n"/>
      <c r="C184" s="10" t="n"/>
      <c r="D184" s="11" t="n"/>
      <c r="E184" s="11" t="n"/>
      <c r="F184" s="11" t="n"/>
      <c r="G184" s="12">
        <f>IF($B184="","",IFERROR(INDEX('商品'!$C$4:$C$18,MATCH($B184,'商品'!$A$4:$A$18,0)),""))</f>
        <v/>
      </c>
      <c r="H184" s="12">
        <f>IF(OR($B184="",$G184=""),"",$G184*(N($D184)-N($F184)))</f>
        <v/>
      </c>
      <c r="I184" s="12">
        <f>IF($H184="","",$H184*'設定'!$C$4)</f>
        <v/>
      </c>
      <c r="J184" s="13">
        <f>IF(N($C184)=0,"",N($D184)/$C184)</f>
        <v/>
      </c>
      <c r="K184" s="13">
        <f>IF(N($D184)=0,"",N($E184)/$D184)</f>
        <v/>
      </c>
    </row>
    <row r="185">
      <c r="A185" s="8" t="n"/>
      <c r="B185" s="7" t="n"/>
      <c r="C185" s="10" t="n"/>
      <c r="D185" s="11" t="n"/>
      <c r="E185" s="11" t="n"/>
      <c r="F185" s="11" t="n"/>
      <c r="G185" s="12">
        <f>IF($B185="","",IFERROR(INDEX('商品'!$C$4:$C$18,MATCH($B185,'商品'!$A$4:$A$18,0)),""))</f>
        <v/>
      </c>
      <c r="H185" s="12">
        <f>IF(OR($B185="",$G185=""),"",$G185*(N($D185)-N($F185)))</f>
        <v/>
      </c>
      <c r="I185" s="12">
        <f>IF($H185="","",$H185*'設定'!$C$4)</f>
        <v/>
      </c>
      <c r="J185" s="13">
        <f>IF(N($C185)=0,"",N($D185)/$C185)</f>
        <v/>
      </c>
      <c r="K185" s="13">
        <f>IF(N($D185)=0,"",N($E185)/$D185)</f>
        <v/>
      </c>
    </row>
    <row r="186">
      <c r="A186" s="8" t="n"/>
      <c r="B186" s="7" t="n"/>
      <c r="C186" s="10" t="n"/>
      <c r="D186" s="11" t="n"/>
      <c r="E186" s="11" t="n"/>
      <c r="F186" s="11" t="n"/>
      <c r="G186" s="12">
        <f>IF($B186="","",IFERROR(INDEX('商品'!$C$4:$C$18,MATCH($B186,'商品'!$A$4:$A$18,0)),""))</f>
        <v/>
      </c>
      <c r="H186" s="12">
        <f>IF(OR($B186="",$G186=""),"",$G186*(N($D186)-N($F186)))</f>
        <v/>
      </c>
      <c r="I186" s="12">
        <f>IF($H186="","",$H186*'設定'!$C$4)</f>
        <v/>
      </c>
      <c r="J186" s="13">
        <f>IF(N($C186)=0,"",N($D186)/$C186)</f>
        <v/>
      </c>
      <c r="K186" s="13">
        <f>IF(N($D186)=0,"",N($E186)/$D186)</f>
        <v/>
      </c>
    </row>
    <row r="187">
      <c r="A187" s="8" t="n"/>
      <c r="B187" s="7" t="n"/>
      <c r="C187" s="10" t="n"/>
      <c r="D187" s="11" t="n"/>
      <c r="E187" s="11" t="n"/>
      <c r="F187" s="11" t="n"/>
      <c r="G187" s="12">
        <f>IF($B187="","",IFERROR(INDEX('商品'!$C$4:$C$18,MATCH($B187,'商品'!$A$4:$A$18,0)),""))</f>
        <v/>
      </c>
      <c r="H187" s="12">
        <f>IF(OR($B187="",$G187=""),"",$G187*(N($D187)-N($F187)))</f>
        <v/>
      </c>
      <c r="I187" s="12">
        <f>IF($H187="","",$H187*'設定'!$C$4)</f>
        <v/>
      </c>
      <c r="J187" s="13">
        <f>IF(N($C187)=0,"",N($D187)/$C187)</f>
        <v/>
      </c>
      <c r="K187" s="13">
        <f>IF(N($D187)=0,"",N($E187)/$D187)</f>
        <v/>
      </c>
    </row>
    <row r="188">
      <c r="A188" s="8" t="n"/>
      <c r="B188" s="7" t="n"/>
      <c r="C188" s="10" t="n"/>
      <c r="D188" s="11" t="n"/>
      <c r="E188" s="11" t="n"/>
      <c r="F188" s="11" t="n"/>
      <c r="G188" s="12">
        <f>IF($B188="","",IFERROR(INDEX('商品'!$C$4:$C$18,MATCH($B188,'商品'!$A$4:$A$18,0)),""))</f>
        <v/>
      </c>
      <c r="H188" s="12">
        <f>IF(OR($B188="",$G188=""),"",$G188*(N($D188)-N($F188)))</f>
        <v/>
      </c>
      <c r="I188" s="12">
        <f>IF($H188="","",$H188*'設定'!$C$4)</f>
        <v/>
      </c>
      <c r="J188" s="13">
        <f>IF(N($C188)=0,"",N($D188)/$C188)</f>
        <v/>
      </c>
      <c r="K188" s="13">
        <f>IF(N($D188)=0,"",N($E188)/$D188)</f>
        <v/>
      </c>
    </row>
    <row r="189">
      <c r="A189" s="8" t="n"/>
      <c r="B189" s="7" t="n"/>
      <c r="C189" s="10" t="n"/>
      <c r="D189" s="11" t="n"/>
      <c r="E189" s="11" t="n"/>
      <c r="F189" s="11" t="n"/>
      <c r="G189" s="12">
        <f>IF($B189="","",IFERROR(INDEX('商品'!$C$4:$C$18,MATCH($B189,'商品'!$A$4:$A$18,0)),""))</f>
        <v/>
      </c>
      <c r="H189" s="12">
        <f>IF(OR($B189="",$G189=""),"",$G189*(N($D189)-N($F189)))</f>
        <v/>
      </c>
      <c r="I189" s="12">
        <f>IF($H189="","",$H189*'設定'!$C$4)</f>
        <v/>
      </c>
      <c r="J189" s="13">
        <f>IF(N($C189)=0,"",N($D189)/$C189)</f>
        <v/>
      </c>
      <c r="K189" s="13">
        <f>IF(N($D189)=0,"",N($E189)/$D189)</f>
        <v/>
      </c>
    </row>
    <row r="190">
      <c r="A190" s="8" t="n"/>
      <c r="B190" s="7" t="n"/>
      <c r="C190" s="10" t="n"/>
      <c r="D190" s="11" t="n"/>
      <c r="E190" s="11" t="n"/>
      <c r="F190" s="11" t="n"/>
      <c r="G190" s="12">
        <f>IF($B190="","",IFERROR(INDEX('商品'!$C$4:$C$18,MATCH($B190,'商品'!$A$4:$A$18,0)),""))</f>
        <v/>
      </c>
      <c r="H190" s="12">
        <f>IF(OR($B190="",$G190=""),"",$G190*(N($D190)-N($F190)))</f>
        <v/>
      </c>
      <c r="I190" s="12">
        <f>IF($H190="","",$H190*'設定'!$C$4)</f>
        <v/>
      </c>
      <c r="J190" s="13">
        <f>IF(N($C190)=0,"",N($D190)/$C190)</f>
        <v/>
      </c>
      <c r="K190" s="13">
        <f>IF(N($D190)=0,"",N($E190)/$D190)</f>
        <v/>
      </c>
    </row>
    <row r="191">
      <c r="A191" s="8" t="n"/>
      <c r="B191" s="7" t="n"/>
      <c r="C191" s="10" t="n"/>
      <c r="D191" s="11" t="n"/>
      <c r="E191" s="11" t="n"/>
      <c r="F191" s="11" t="n"/>
      <c r="G191" s="12">
        <f>IF($B191="","",IFERROR(INDEX('商品'!$C$4:$C$18,MATCH($B191,'商品'!$A$4:$A$18,0)),""))</f>
        <v/>
      </c>
      <c r="H191" s="12">
        <f>IF(OR($B191="",$G191=""),"",$G191*(N($D191)-N($F191)))</f>
        <v/>
      </c>
      <c r="I191" s="12">
        <f>IF($H191="","",$H191*'設定'!$C$4)</f>
        <v/>
      </c>
      <c r="J191" s="13">
        <f>IF(N($C191)=0,"",N($D191)/$C191)</f>
        <v/>
      </c>
      <c r="K191" s="13">
        <f>IF(N($D191)=0,"",N($E191)/$D191)</f>
        <v/>
      </c>
    </row>
    <row r="192">
      <c r="A192" s="8" t="n"/>
      <c r="B192" s="7" t="n"/>
      <c r="C192" s="10" t="n"/>
      <c r="D192" s="11" t="n"/>
      <c r="E192" s="11" t="n"/>
      <c r="F192" s="11" t="n"/>
      <c r="G192" s="12">
        <f>IF($B192="","",IFERROR(INDEX('商品'!$C$4:$C$18,MATCH($B192,'商品'!$A$4:$A$18,0)),""))</f>
        <v/>
      </c>
      <c r="H192" s="12">
        <f>IF(OR($B192="",$G192=""),"",$G192*(N($D192)-N($F192)))</f>
        <v/>
      </c>
      <c r="I192" s="12">
        <f>IF($H192="","",$H192*'設定'!$C$4)</f>
        <v/>
      </c>
      <c r="J192" s="13">
        <f>IF(N($C192)=0,"",N($D192)/$C192)</f>
        <v/>
      </c>
      <c r="K192" s="13">
        <f>IF(N($D192)=0,"",N($E192)/$D192)</f>
        <v/>
      </c>
    </row>
    <row r="193">
      <c r="A193" s="8" t="n"/>
      <c r="B193" s="7" t="n"/>
      <c r="C193" s="10" t="n"/>
      <c r="D193" s="11" t="n"/>
      <c r="E193" s="11" t="n"/>
      <c r="F193" s="11" t="n"/>
      <c r="G193" s="12">
        <f>IF($B193="","",IFERROR(INDEX('商品'!$C$4:$C$18,MATCH($B193,'商品'!$A$4:$A$18,0)),""))</f>
        <v/>
      </c>
      <c r="H193" s="12">
        <f>IF(OR($B193="",$G193=""),"",$G193*(N($D193)-N($F193)))</f>
        <v/>
      </c>
      <c r="I193" s="12">
        <f>IF($H193="","",$H193*'設定'!$C$4)</f>
        <v/>
      </c>
      <c r="J193" s="13">
        <f>IF(N($C193)=0,"",N($D193)/$C193)</f>
        <v/>
      </c>
      <c r="K193" s="13">
        <f>IF(N($D193)=0,"",N($E193)/$D193)</f>
        <v/>
      </c>
    </row>
    <row r="194">
      <c r="A194" s="8" t="n"/>
      <c r="B194" s="7" t="n"/>
      <c r="C194" s="10" t="n"/>
      <c r="D194" s="11" t="n"/>
      <c r="E194" s="11" t="n"/>
      <c r="F194" s="11" t="n"/>
      <c r="G194" s="12">
        <f>IF($B194="","",IFERROR(INDEX('商品'!$C$4:$C$18,MATCH($B194,'商品'!$A$4:$A$18,0)),""))</f>
        <v/>
      </c>
      <c r="H194" s="12">
        <f>IF(OR($B194="",$G194=""),"",$G194*(N($D194)-N($F194)))</f>
        <v/>
      </c>
      <c r="I194" s="12">
        <f>IF($H194="","",$H194*'設定'!$C$4)</f>
        <v/>
      </c>
      <c r="J194" s="13">
        <f>IF(N($C194)=0,"",N($D194)/$C194)</f>
        <v/>
      </c>
      <c r="K194" s="13">
        <f>IF(N($D194)=0,"",N($E194)/$D194)</f>
        <v/>
      </c>
    </row>
    <row r="195">
      <c r="A195" s="8" t="n"/>
      <c r="B195" s="7" t="n"/>
      <c r="C195" s="10" t="n"/>
      <c r="D195" s="11" t="n"/>
      <c r="E195" s="11" t="n"/>
      <c r="F195" s="11" t="n"/>
      <c r="G195" s="12">
        <f>IF($B195="","",IFERROR(INDEX('商品'!$C$4:$C$18,MATCH($B195,'商品'!$A$4:$A$18,0)),""))</f>
        <v/>
      </c>
      <c r="H195" s="12">
        <f>IF(OR($B195="",$G195=""),"",$G195*(N($D195)-N($F195)))</f>
        <v/>
      </c>
      <c r="I195" s="12">
        <f>IF($H195="","",$H195*'設定'!$C$4)</f>
        <v/>
      </c>
      <c r="J195" s="13">
        <f>IF(N($C195)=0,"",N($D195)/$C195)</f>
        <v/>
      </c>
      <c r="K195" s="13">
        <f>IF(N($D195)=0,"",N($E195)/$D195)</f>
        <v/>
      </c>
    </row>
    <row r="196">
      <c r="A196" s="8" t="n"/>
      <c r="B196" s="7" t="n"/>
      <c r="C196" s="10" t="n"/>
      <c r="D196" s="11" t="n"/>
      <c r="E196" s="11" t="n"/>
      <c r="F196" s="11" t="n"/>
      <c r="G196" s="12">
        <f>IF($B196="","",IFERROR(INDEX('商品'!$C$4:$C$18,MATCH($B196,'商品'!$A$4:$A$18,0)),""))</f>
        <v/>
      </c>
      <c r="H196" s="12">
        <f>IF(OR($B196="",$G196=""),"",$G196*(N($D196)-N($F196)))</f>
        <v/>
      </c>
      <c r="I196" s="12">
        <f>IF($H196="","",$H196*'設定'!$C$4)</f>
        <v/>
      </c>
      <c r="J196" s="13">
        <f>IF(N($C196)=0,"",N($D196)/$C196)</f>
        <v/>
      </c>
      <c r="K196" s="13">
        <f>IF(N($D196)=0,"",N($E196)/$D196)</f>
        <v/>
      </c>
    </row>
    <row r="197">
      <c r="A197" s="8" t="n"/>
      <c r="B197" s="7" t="n"/>
      <c r="C197" s="10" t="n"/>
      <c r="D197" s="11" t="n"/>
      <c r="E197" s="11" t="n"/>
      <c r="F197" s="11" t="n"/>
      <c r="G197" s="12">
        <f>IF($B197="","",IFERROR(INDEX('商品'!$C$4:$C$18,MATCH($B197,'商品'!$A$4:$A$18,0)),""))</f>
        <v/>
      </c>
      <c r="H197" s="12">
        <f>IF(OR($B197="",$G197=""),"",$G197*(N($D197)-N($F197)))</f>
        <v/>
      </c>
      <c r="I197" s="12">
        <f>IF($H197="","",$H197*'設定'!$C$4)</f>
        <v/>
      </c>
      <c r="J197" s="13">
        <f>IF(N($C197)=0,"",N($D197)/$C197)</f>
        <v/>
      </c>
      <c r="K197" s="13">
        <f>IF(N($D197)=0,"",N($E197)/$D197)</f>
        <v/>
      </c>
    </row>
    <row r="198">
      <c r="A198" s="8" t="n"/>
      <c r="B198" s="7" t="n"/>
      <c r="C198" s="10" t="n"/>
      <c r="D198" s="11" t="n"/>
      <c r="E198" s="11" t="n"/>
      <c r="F198" s="11" t="n"/>
      <c r="G198" s="12">
        <f>IF($B198="","",IFERROR(INDEX('商品'!$C$4:$C$18,MATCH($B198,'商品'!$A$4:$A$18,0)),""))</f>
        <v/>
      </c>
      <c r="H198" s="12">
        <f>IF(OR($B198="",$G198=""),"",$G198*(N($D198)-N($F198)))</f>
        <v/>
      </c>
      <c r="I198" s="12">
        <f>IF($H198="","",$H198*'設定'!$C$4)</f>
        <v/>
      </c>
      <c r="J198" s="13">
        <f>IF(N($C198)=0,"",N($D198)/$C198)</f>
        <v/>
      </c>
      <c r="K198" s="13">
        <f>IF(N($D198)=0,"",N($E198)/$D198)</f>
        <v/>
      </c>
    </row>
    <row r="199">
      <c r="A199" s="8" t="n"/>
      <c r="B199" s="7" t="n"/>
      <c r="C199" s="10" t="n"/>
      <c r="D199" s="11" t="n"/>
      <c r="E199" s="11" t="n"/>
      <c r="F199" s="11" t="n"/>
      <c r="G199" s="12">
        <f>IF($B199="","",IFERROR(INDEX('商品'!$C$4:$C$18,MATCH($B199,'商品'!$A$4:$A$18,0)),""))</f>
        <v/>
      </c>
      <c r="H199" s="12">
        <f>IF(OR($B199="",$G199=""),"",$G199*(N($D199)-N($F199)))</f>
        <v/>
      </c>
      <c r="I199" s="12">
        <f>IF($H199="","",$H199*'設定'!$C$4)</f>
        <v/>
      </c>
      <c r="J199" s="13">
        <f>IF(N($C199)=0,"",N($D199)/$C199)</f>
        <v/>
      </c>
      <c r="K199" s="13">
        <f>IF(N($D199)=0,"",N($E199)/$D199)</f>
        <v/>
      </c>
    </row>
    <row r="200">
      <c r="A200" s="8" t="n"/>
      <c r="B200" s="7" t="n"/>
      <c r="C200" s="10" t="n"/>
      <c r="D200" s="11" t="n"/>
      <c r="E200" s="11" t="n"/>
      <c r="F200" s="11" t="n"/>
      <c r="G200" s="12">
        <f>IF($B200="","",IFERROR(INDEX('商品'!$C$4:$C$18,MATCH($B200,'商品'!$A$4:$A$18,0)),""))</f>
        <v/>
      </c>
      <c r="H200" s="12">
        <f>IF(OR($B200="",$G200=""),"",$G200*(N($D200)-N($F200)))</f>
        <v/>
      </c>
      <c r="I200" s="12">
        <f>IF($H200="","",$H200*'設定'!$C$4)</f>
        <v/>
      </c>
      <c r="J200" s="13">
        <f>IF(N($C200)=0,"",N($D200)/$C200)</f>
        <v/>
      </c>
      <c r="K200" s="13">
        <f>IF(N($D200)=0,"",N($E200)/$D200)</f>
        <v/>
      </c>
    </row>
    <row r="201">
      <c r="A201" s="8" t="n"/>
      <c r="B201" s="7" t="n"/>
      <c r="C201" s="10" t="n"/>
      <c r="D201" s="11" t="n"/>
      <c r="E201" s="11" t="n"/>
      <c r="F201" s="11" t="n"/>
      <c r="G201" s="12">
        <f>IF($B201="","",IFERROR(INDEX('商品'!$C$4:$C$18,MATCH($B201,'商品'!$A$4:$A$18,0)),""))</f>
        <v/>
      </c>
      <c r="H201" s="12">
        <f>IF(OR($B201="",$G201=""),"",$G201*(N($D201)-N($F201)))</f>
        <v/>
      </c>
      <c r="I201" s="12">
        <f>IF($H201="","",$H201*'設定'!$C$4)</f>
        <v/>
      </c>
      <c r="J201" s="13">
        <f>IF(N($C201)=0,"",N($D201)/$C201)</f>
        <v/>
      </c>
      <c r="K201" s="13">
        <f>IF(N($D201)=0,"",N($E201)/$D201)</f>
        <v/>
      </c>
    </row>
    <row r="202">
      <c r="A202" s="8" t="n"/>
      <c r="B202" s="7" t="n"/>
      <c r="C202" s="10" t="n"/>
      <c r="D202" s="11" t="n"/>
      <c r="E202" s="11" t="n"/>
      <c r="F202" s="11" t="n"/>
      <c r="G202" s="12">
        <f>IF($B202="","",IFERROR(INDEX('商品'!$C$4:$C$18,MATCH($B202,'商品'!$A$4:$A$18,0)),""))</f>
        <v/>
      </c>
      <c r="H202" s="12">
        <f>IF(OR($B202="",$G202=""),"",$G202*(N($D202)-N($F202)))</f>
        <v/>
      </c>
      <c r="I202" s="12">
        <f>IF($H202="","",$H202*'設定'!$C$4)</f>
        <v/>
      </c>
      <c r="J202" s="13">
        <f>IF(N($C202)=0,"",N($D202)/$C202)</f>
        <v/>
      </c>
      <c r="K202" s="13">
        <f>IF(N($D202)=0,"",N($E202)/$D202)</f>
        <v/>
      </c>
    </row>
    <row r="203">
      <c r="A203" s="8" t="n"/>
      <c r="B203" s="7" t="n"/>
      <c r="C203" s="10" t="n"/>
      <c r="D203" s="11" t="n"/>
      <c r="E203" s="11" t="n"/>
      <c r="F203" s="11" t="n"/>
      <c r="G203" s="12">
        <f>IF($B203="","",IFERROR(INDEX('商品'!$C$4:$C$18,MATCH($B203,'商品'!$A$4:$A$18,0)),""))</f>
        <v/>
      </c>
      <c r="H203" s="12">
        <f>IF(OR($B203="",$G203=""),"",$G203*(N($D203)-N($F203)))</f>
        <v/>
      </c>
      <c r="I203" s="12">
        <f>IF($H203="","",$H203*'設定'!$C$4)</f>
        <v/>
      </c>
      <c r="J203" s="13">
        <f>IF(N($C203)=0,"",N($D203)/$C203)</f>
        <v/>
      </c>
      <c r="K203" s="13">
        <f>IF(N($D203)=0,"",N($E203)/$D203)</f>
        <v/>
      </c>
    </row>
    <row r="204">
      <c r="A204" s="8" t="n"/>
      <c r="B204" s="7" t="n"/>
      <c r="C204" s="10" t="n"/>
      <c r="D204" s="11" t="n"/>
      <c r="E204" s="11" t="n"/>
      <c r="F204" s="11" t="n"/>
      <c r="G204" s="12">
        <f>IF($B204="","",IFERROR(INDEX('商品'!$C$4:$C$18,MATCH($B204,'商品'!$A$4:$A$18,0)),""))</f>
        <v/>
      </c>
      <c r="H204" s="12">
        <f>IF(OR($B204="",$G204=""),"",$G204*(N($D204)-N($F204)))</f>
        <v/>
      </c>
      <c r="I204" s="12">
        <f>IF($H204="","",$H204*'設定'!$C$4)</f>
        <v/>
      </c>
      <c r="J204" s="13">
        <f>IF(N($C204)=0,"",N($D204)/$C204)</f>
        <v/>
      </c>
      <c r="K204" s="13">
        <f>IF(N($D204)=0,"",N($E204)/$D204)</f>
        <v/>
      </c>
    </row>
    <row r="205">
      <c r="A205" s="8" t="n"/>
      <c r="B205" s="7" t="n"/>
      <c r="C205" s="10" t="n"/>
      <c r="D205" s="11" t="n"/>
      <c r="E205" s="11" t="n"/>
      <c r="F205" s="11" t="n"/>
      <c r="G205" s="12">
        <f>IF($B205="","",IFERROR(INDEX('商品'!$C$4:$C$18,MATCH($B205,'商品'!$A$4:$A$18,0)),""))</f>
        <v/>
      </c>
      <c r="H205" s="12">
        <f>IF(OR($B205="",$G205=""),"",$G205*(N($D205)-N($F205)))</f>
        <v/>
      </c>
      <c r="I205" s="12">
        <f>IF($H205="","",$H205*'設定'!$C$4)</f>
        <v/>
      </c>
      <c r="J205" s="13">
        <f>IF(N($C205)=0,"",N($D205)/$C205)</f>
        <v/>
      </c>
      <c r="K205" s="13">
        <f>IF(N($D205)=0,"",N($E205)/$D205)</f>
        <v/>
      </c>
    </row>
    <row r="206">
      <c r="A206" s="8" t="n"/>
      <c r="B206" s="7" t="n"/>
      <c r="C206" s="10" t="n"/>
      <c r="D206" s="11" t="n"/>
      <c r="E206" s="11" t="n"/>
      <c r="F206" s="11" t="n"/>
      <c r="G206" s="12">
        <f>IF($B206="","",IFERROR(INDEX('商品'!$C$4:$C$18,MATCH($B206,'商品'!$A$4:$A$18,0)),""))</f>
        <v/>
      </c>
      <c r="H206" s="12">
        <f>IF(OR($B206="",$G206=""),"",$G206*(N($D206)-N($F206)))</f>
        <v/>
      </c>
      <c r="I206" s="12">
        <f>IF($H206="","",$H206*'設定'!$C$4)</f>
        <v/>
      </c>
      <c r="J206" s="13">
        <f>IF(N($C206)=0,"",N($D206)/$C206)</f>
        <v/>
      </c>
      <c r="K206" s="13">
        <f>IF(N($D206)=0,"",N($E206)/$D206)</f>
        <v/>
      </c>
    </row>
    <row r="207">
      <c r="A207" s="8" t="n"/>
      <c r="B207" s="7" t="n"/>
      <c r="C207" s="10" t="n"/>
      <c r="D207" s="11" t="n"/>
      <c r="E207" s="11" t="n"/>
      <c r="F207" s="11" t="n"/>
      <c r="G207" s="12">
        <f>IF($B207="","",IFERROR(INDEX('商品'!$C$4:$C$18,MATCH($B207,'商品'!$A$4:$A$18,0)),""))</f>
        <v/>
      </c>
      <c r="H207" s="12">
        <f>IF(OR($B207="",$G207=""),"",$G207*(N($D207)-N($F207)))</f>
        <v/>
      </c>
      <c r="I207" s="12">
        <f>IF($H207="","",$H207*'設定'!$C$4)</f>
        <v/>
      </c>
      <c r="J207" s="13">
        <f>IF(N($C207)=0,"",N($D207)/$C207)</f>
        <v/>
      </c>
      <c r="K207" s="13">
        <f>IF(N($D207)=0,"",N($E207)/$D207)</f>
        <v/>
      </c>
    </row>
    <row r="208">
      <c r="A208" s="8" t="n"/>
      <c r="B208" s="7" t="n"/>
      <c r="C208" s="10" t="n"/>
      <c r="D208" s="11" t="n"/>
      <c r="E208" s="11" t="n"/>
      <c r="F208" s="11" t="n"/>
      <c r="G208" s="12">
        <f>IF($B208="","",IFERROR(INDEX('商品'!$C$4:$C$18,MATCH($B208,'商品'!$A$4:$A$18,0)),""))</f>
        <v/>
      </c>
      <c r="H208" s="12">
        <f>IF(OR($B208="",$G208=""),"",$G208*(N($D208)-N($F208)))</f>
        <v/>
      </c>
      <c r="I208" s="12">
        <f>IF($H208="","",$H208*'設定'!$C$4)</f>
        <v/>
      </c>
      <c r="J208" s="13">
        <f>IF(N($C208)=0,"",N($D208)/$C208)</f>
        <v/>
      </c>
      <c r="K208" s="13">
        <f>IF(N($D208)=0,"",N($E208)/$D208)</f>
        <v/>
      </c>
    </row>
    <row r="209">
      <c r="A209" s="8" t="n"/>
      <c r="B209" s="7" t="n"/>
      <c r="C209" s="10" t="n"/>
      <c r="D209" s="11" t="n"/>
      <c r="E209" s="11" t="n"/>
      <c r="F209" s="11" t="n"/>
      <c r="G209" s="12">
        <f>IF($B209="","",IFERROR(INDEX('商品'!$C$4:$C$18,MATCH($B209,'商品'!$A$4:$A$18,0)),""))</f>
        <v/>
      </c>
      <c r="H209" s="12">
        <f>IF(OR($B209="",$G209=""),"",$G209*(N($D209)-N($F209)))</f>
        <v/>
      </c>
      <c r="I209" s="12">
        <f>IF($H209="","",$H209*'設定'!$C$4)</f>
        <v/>
      </c>
      <c r="J209" s="13">
        <f>IF(N($C209)=0,"",N($D209)/$C209)</f>
        <v/>
      </c>
      <c r="K209" s="13">
        <f>IF(N($D209)=0,"",N($E209)/$D209)</f>
        <v/>
      </c>
    </row>
    <row r="210">
      <c r="A210" s="8" t="n"/>
      <c r="B210" s="7" t="n"/>
      <c r="C210" s="10" t="n"/>
      <c r="D210" s="11" t="n"/>
      <c r="E210" s="11" t="n"/>
      <c r="F210" s="11" t="n"/>
      <c r="G210" s="12">
        <f>IF($B210="","",IFERROR(INDEX('商品'!$C$4:$C$18,MATCH($B210,'商品'!$A$4:$A$18,0)),""))</f>
        <v/>
      </c>
      <c r="H210" s="12">
        <f>IF(OR($B210="",$G210=""),"",$G210*(N($D210)-N($F210)))</f>
        <v/>
      </c>
      <c r="I210" s="12">
        <f>IF($H210="","",$H210*'設定'!$C$4)</f>
        <v/>
      </c>
      <c r="J210" s="13">
        <f>IF(N($C210)=0,"",N($D210)/$C210)</f>
        <v/>
      </c>
      <c r="K210" s="13">
        <f>IF(N($D210)=0,"",N($E210)/$D210)</f>
        <v/>
      </c>
    </row>
    <row r="211">
      <c r="A211" s="8" t="n"/>
      <c r="B211" s="7" t="n"/>
      <c r="C211" s="10" t="n"/>
      <c r="D211" s="11" t="n"/>
      <c r="E211" s="11" t="n"/>
      <c r="F211" s="11" t="n"/>
      <c r="G211" s="12">
        <f>IF($B211="","",IFERROR(INDEX('商品'!$C$4:$C$18,MATCH($B211,'商品'!$A$4:$A$18,0)),""))</f>
        <v/>
      </c>
      <c r="H211" s="12">
        <f>IF(OR($B211="",$G211=""),"",$G211*(N($D211)-N($F211)))</f>
        <v/>
      </c>
      <c r="I211" s="12">
        <f>IF($H211="","",$H211*'設定'!$C$4)</f>
        <v/>
      </c>
      <c r="J211" s="13">
        <f>IF(N($C211)=0,"",N($D211)/$C211)</f>
        <v/>
      </c>
      <c r="K211" s="13">
        <f>IF(N($D211)=0,"",N($E211)/$D211)</f>
        <v/>
      </c>
    </row>
    <row r="212">
      <c r="A212" s="8" t="n"/>
      <c r="B212" s="7" t="n"/>
      <c r="C212" s="10" t="n"/>
      <c r="D212" s="11" t="n"/>
      <c r="E212" s="11" t="n"/>
      <c r="F212" s="11" t="n"/>
      <c r="G212" s="12">
        <f>IF($B212="","",IFERROR(INDEX('商品'!$C$4:$C$18,MATCH($B212,'商品'!$A$4:$A$18,0)),""))</f>
        <v/>
      </c>
      <c r="H212" s="12">
        <f>IF(OR($B212="",$G212=""),"",$G212*(N($D212)-N($F212)))</f>
        <v/>
      </c>
      <c r="I212" s="12">
        <f>IF($H212="","",$H212*'設定'!$C$4)</f>
        <v/>
      </c>
      <c r="J212" s="13">
        <f>IF(N($C212)=0,"",N($D212)/$C212)</f>
        <v/>
      </c>
      <c r="K212" s="13">
        <f>IF(N($D212)=0,"",N($E212)/$D212)</f>
        <v/>
      </c>
    </row>
    <row r="213">
      <c r="A213" s="8" t="n"/>
      <c r="B213" s="7" t="n"/>
      <c r="C213" s="10" t="n"/>
      <c r="D213" s="11" t="n"/>
      <c r="E213" s="11" t="n"/>
      <c r="F213" s="11" t="n"/>
      <c r="G213" s="12">
        <f>IF($B213="","",IFERROR(INDEX('商品'!$C$4:$C$18,MATCH($B213,'商品'!$A$4:$A$18,0)),""))</f>
        <v/>
      </c>
      <c r="H213" s="12">
        <f>IF(OR($B213="",$G213=""),"",$G213*(N($D213)-N($F213)))</f>
        <v/>
      </c>
      <c r="I213" s="12">
        <f>IF($H213="","",$H213*'設定'!$C$4)</f>
        <v/>
      </c>
      <c r="J213" s="13">
        <f>IF(N($C213)=0,"",N($D213)/$C213)</f>
        <v/>
      </c>
      <c r="K213" s="13">
        <f>IF(N($D213)=0,"",N($E213)/$D213)</f>
        <v/>
      </c>
    </row>
    <row r="214">
      <c r="A214" s="8" t="n"/>
      <c r="B214" s="7" t="n"/>
      <c r="C214" s="10" t="n"/>
      <c r="D214" s="11" t="n"/>
      <c r="E214" s="11" t="n"/>
      <c r="F214" s="11" t="n"/>
      <c r="G214" s="12">
        <f>IF($B214="","",IFERROR(INDEX('商品'!$C$4:$C$18,MATCH($B214,'商品'!$A$4:$A$18,0)),""))</f>
        <v/>
      </c>
      <c r="H214" s="12">
        <f>IF(OR($B214="",$G214=""),"",$G214*(N($D214)-N($F214)))</f>
        <v/>
      </c>
      <c r="I214" s="12">
        <f>IF($H214="","",$H214*'設定'!$C$4)</f>
        <v/>
      </c>
      <c r="J214" s="13">
        <f>IF(N($C214)=0,"",N($D214)/$C214)</f>
        <v/>
      </c>
      <c r="K214" s="13">
        <f>IF(N($D214)=0,"",N($E214)/$D214)</f>
        <v/>
      </c>
    </row>
    <row r="215">
      <c r="A215" s="8" t="n"/>
      <c r="B215" s="7" t="n"/>
      <c r="C215" s="10" t="n"/>
      <c r="D215" s="11" t="n"/>
      <c r="E215" s="11" t="n"/>
      <c r="F215" s="11" t="n"/>
      <c r="G215" s="12">
        <f>IF($B215="","",IFERROR(INDEX('商品'!$C$4:$C$18,MATCH($B215,'商品'!$A$4:$A$18,0)),""))</f>
        <v/>
      </c>
      <c r="H215" s="12">
        <f>IF(OR($B215="",$G215=""),"",$G215*(N($D215)-N($F215)))</f>
        <v/>
      </c>
      <c r="I215" s="12">
        <f>IF($H215="","",$H215*'設定'!$C$4)</f>
        <v/>
      </c>
      <c r="J215" s="13">
        <f>IF(N($C215)=0,"",N($D215)/$C215)</f>
        <v/>
      </c>
      <c r="K215" s="13">
        <f>IF(N($D215)=0,"",N($E215)/$D215)</f>
        <v/>
      </c>
    </row>
    <row r="216">
      <c r="A216" s="8" t="n"/>
      <c r="B216" s="7" t="n"/>
      <c r="C216" s="10" t="n"/>
      <c r="D216" s="11" t="n"/>
      <c r="E216" s="11" t="n"/>
      <c r="F216" s="11" t="n"/>
      <c r="G216" s="12">
        <f>IF($B216="","",IFERROR(INDEX('商品'!$C$4:$C$18,MATCH($B216,'商品'!$A$4:$A$18,0)),""))</f>
        <v/>
      </c>
      <c r="H216" s="12">
        <f>IF(OR($B216="",$G216=""),"",$G216*(N($D216)-N($F216)))</f>
        <v/>
      </c>
      <c r="I216" s="12">
        <f>IF($H216="","",$H216*'設定'!$C$4)</f>
        <v/>
      </c>
      <c r="J216" s="13">
        <f>IF(N($C216)=0,"",N($D216)/$C216)</f>
        <v/>
      </c>
      <c r="K216" s="13">
        <f>IF(N($D216)=0,"",N($E216)/$D216)</f>
        <v/>
      </c>
    </row>
    <row r="217">
      <c r="A217" s="8" t="n"/>
      <c r="B217" s="7" t="n"/>
      <c r="C217" s="10" t="n"/>
      <c r="D217" s="11" t="n"/>
      <c r="E217" s="11" t="n"/>
      <c r="F217" s="11" t="n"/>
      <c r="G217" s="12">
        <f>IF($B217="","",IFERROR(INDEX('商品'!$C$4:$C$18,MATCH($B217,'商品'!$A$4:$A$18,0)),""))</f>
        <v/>
      </c>
      <c r="H217" s="12">
        <f>IF(OR($B217="",$G217=""),"",$G217*(N($D217)-N($F217)))</f>
        <v/>
      </c>
      <c r="I217" s="12">
        <f>IF($H217="","",$H217*'設定'!$C$4)</f>
        <v/>
      </c>
      <c r="J217" s="13">
        <f>IF(N($C217)=0,"",N($D217)/$C217)</f>
        <v/>
      </c>
      <c r="K217" s="13">
        <f>IF(N($D217)=0,"",N($E217)/$D217)</f>
        <v/>
      </c>
    </row>
    <row r="218">
      <c r="A218" s="8" t="n"/>
      <c r="B218" s="7" t="n"/>
      <c r="C218" s="10" t="n"/>
      <c r="D218" s="11" t="n"/>
      <c r="E218" s="11" t="n"/>
      <c r="F218" s="11" t="n"/>
      <c r="G218" s="12">
        <f>IF($B218="","",IFERROR(INDEX('商品'!$C$4:$C$18,MATCH($B218,'商品'!$A$4:$A$18,0)),""))</f>
        <v/>
      </c>
      <c r="H218" s="12">
        <f>IF(OR($B218="",$G218=""),"",$G218*(N($D218)-N($F218)))</f>
        <v/>
      </c>
      <c r="I218" s="12">
        <f>IF($H218="","",$H218*'設定'!$C$4)</f>
        <v/>
      </c>
      <c r="J218" s="13">
        <f>IF(N($C218)=0,"",N($D218)/$C218)</f>
        <v/>
      </c>
      <c r="K218" s="13">
        <f>IF(N($D218)=0,"",N($E218)/$D218)</f>
        <v/>
      </c>
    </row>
    <row r="219">
      <c r="A219" s="8" t="n"/>
      <c r="B219" s="7" t="n"/>
      <c r="C219" s="10" t="n"/>
      <c r="D219" s="11" t="n"/>
      <c r="E219" s="11" t="n"/>
      <c r="F219" s="11" t="n"/>
      <c r="G219" s="12">
        <f>IF($B219="","",IFERROR(INDEX('商品'!$C$4:$C$18,MATCH($B219,'商品'!$A$4:$A$18,0)),""))</f>
        <v/>
      </c>
      <c r="H219" s="12">
        <f>IF(OR($B219="",$G219=""),"",$G219*(N($D219)-N($F219)))</f>
        <v/>
      </c>
      <c r="I219" s="12">
        <f>IF($H219="","",$H219*'設定'!$C$4)</f>
        <v/>
      </c>
      <c r="J219" s="13">
        <f>IF(N($C219)=0,"",N($D219)/$C219)</f>
        <v/>
      </c>
      <c r="K219" s="13">
        <f>IF(N($D219)=0,"",N($E219)/$D219)</f>
        <v/>
      </c>
    </row>
    <row r="220">
      <c r="A220" s="8" t="n"/>
      <c r="B220" s="7" t="n"/>
      <c r="C220" s="10" t="n"/>
      <c r="D220" s="11" t="n"/>
      <c r="E220" s="11" t="n"/>
      <c r="F220" s="11" t="n"/>
      <c r="G220" s="12">
        <f>IF($B220="","",IFERROR(INDEX('商品'!$C$4:$C$18,MATCH($B220,'商品'!$A$4:$A$18,0)),""))</f>
        <v/>
      </c>
      <c r="H220" s="12">
        <f>IF(OR($B220="",$G220=""),"",$G220*(N($D220)-N($F220)))</f>
        <v/>
      </c>
      <c r="I220" s="12">
        <f>IF($H220="","",$H220*'設定'!$C$4)</f>
        <v/>
      </c>
      <c r="J220" s="13">
        <f>IF(N($C220)=0,"",N($D220)/$C220)</f>
        <v/>
      </c>
      <c r="K220" s="13">
        <f>IF(N($D220)=0,"",N($E220)/$D220)</f>
        <v/>
      </c>
    </row>
    <row r="221">
      <c r="A221" s="8" t="n"/>
      <c r="B221" s="7" t="n"/>
      <c r="C221" s="10" t="n"/>
      <c r="D221" s="11" t="n"/>
      <c r="E221" s="11" t="n"/>
      <c r="F221" s="11" t="n"/>
      <c r="G221" s="12">
        <f>IF($B221="","",IFERROR(INDEX('商品'!$C$4:$C$18,MATCH($B221,'商品'!$A$4:$A$18,0)),""))</f>
        <v/>
      </c>
      <c r="H221" s="12">
        <f>IF(OR($B221="",$G221=""),"",$G221*(N($D221)-N($F221)))</f>
        <v/>
      </c>
      <c r="I221" s="12">
        <f>IF($H221="","",$H221*'設定'!$C$4)</f>
        <v/>
      </c>
      <c r="J221" s="13">
        <f>IF(N($C221)=0,"",N($D221)/$C221)</f>
        <v/>
      </c>
      <c r="K221" s="13">
        <f>IF(N($D221)=0,"",N($E221)/$D221)</f>
        <v/>
      </c>
    </row>
    <row r="222">
      <c r="A222" s="8" t="n"/>
      <c r="B222" s="7" t="n"/>
      <c r="C222" s="10" t="n"/>
      <c r="D222" s="11" t="n"/>
      <c r="E222" s="11" t="n"/>
      <c r="F222" s="11" t="n"/>
      <c r="G222" s="12">
        <f>IF($B222="","",IFERROR(INDEX('商品'!$C$4:$C$18,MATCH($B222,'商品'!$A$4:$A$18,0)),""))</f>
        <v/>
      </c>
      <c r="H222" s="12">
        <f>IF(OR($B222="",$G222=""),"",$G222*(N($D222)-N($F222)))</f>
        <v/>
      </c>
      <c r="I222" s="12">
        <f>IF($H222="","",$H222*'設定'!$C$4)</f>
        <v/>
      </c>
      <c r="J222" s="13">
        <f>IF(N($C222)=0,"",N($D222)/$C222)</f>
        <v/>
      </c>
      <c r="K222" s="13">
        <f>IF(N($D222)=0,"",N($E222)/$D222)</f>
        <v/>
      </c>
    </row>
    <row r="223">
      <c r="A223" s="8" t="n"/>
      <c r="B223" s="7" t="n"/>
      <c r="C223" s="10" t="n"/>
      <c r="D223" s="11" t="n"/>
      <c r="E223" s="11" t="n"/>
      <c r="F223" s="11" t="n"/>
      <c r="G223" s="12">
        <f>IF($B223="","",IFERROR(INDEX('商品'!$C$4:$C$18,MATCH($B223,'商品'!$A$4:$A$18,0)),""))</f>
        <v/>
      </c>
      <c r="H223" s="12">
        <f>IF(OR($B223="",$G223=""),"",$G223*(N($D223)-N($F223)))</f>
        <v/>
      </c>
      <c r="I223" s="12">
        <f>IF($H223="","",$H223*'設定'!$C$4)</f>
        <v/>
      </c>
      <c r="J223" s="13">
        <f>IF(N($C223)=0,"",N($D223)/$C223)</f>
        <v/>
      </c>
      <c r="K223" s="13">
        <f>IF(N($D223)=0,"",N($E223)/$D223)</f>
        <v/>
      </c>
    </row>
    <row r="224">
      <c r="A224" s="8" t="n"/>
      <c r="B224" s="7" t="n"/>
      <c r="C224" s="10" t="n"/>
      <c r="D224" s="11" t="n"/>
      <c r="E224" s="11" t="n"/>
      <c r="F224" s="11" t="n"/>
      <c r="G224" s="12">
        <f>IF($B224="","",IFERROR(INDEX('商品'!$C$4:$C$18,MATCH($B224,'商品'!$A$4:$A$18,0)),""))</f>
        <v/>
      </c>
      <c r="H224" s="12">
        <f>IF(OR($B224="",$G224=""),"",$G224*(N($D224)-N($F224)))</f>
        <v/>
      </c>
      <c r="I224" s="12">
        <f>IF($H224="","",$H224*'設定'!$C$4)</f>
        <v/>
      </c>
      <c r="J224" s="13">
        <f>IF(N($C224)=0,"",N($D224)/$C224)</f>
        <v/>
      </c>
      <c r="K224" s="13">
        <f>IF(N($D224)=0,"",N($E224)/$D224)</f>
        <v/>
      </c>
    </row>
    <row r="225">
      <c r="A225" s="8" t="n"/>
      <c r="B225" s="7" t="n"/>
      <c r="C225" s="10" t="n"/>
      <c r="D225" s="11" t="n"/>
      <c r="E225" s="11" t="n"/>
      <c r="F225" s="11" t="n"/>
      <c r="G225" s="12">
        <f>IF($B225="","",IFERROR(INDEX('商品'!$C$4:$C$18,MATCH($B225,'商品'!$A$4:$A$18,0)),""))</f>
        <v/>
      </c>
      <c r="H225" s="12">
        <f>IF(OR($B225="",$G225=""),"",$G225*(N($D225)-N($F225)))</f>
        <v/>
      </c>
      <c r="I225" s="12">
        <f>IF($H225="","",$H225*'設定'!$C$4)</f>
        <v/>
      </c>
      <c r="J225" s="13">
        <f>IF(N($C225)=0,"",N($D225)/$C225)</f>
        <v/>
      </c>
      <c r="K225" s="13">
        <f>IF(N($D225)=0,"",N($E225)/$D225)</f>
        <v/>
      </c>
    </row>
    <row r="226">
      <c r="A226" s="8" t="n"/>
      <c r="B226" s="7" t="n"/>
      <c r="C226" s="10" t="n"/>
      <c r="D226" s="11" t="n"/>
      <c r="E226" s="11" t="n"/>
      <c r="F226" s="11" t="n"/>
      <c r="G226" s="12">
        <f>IF($B226="","",IFERROR(INDEX('商品'!$C$4:$C$18,MATCH($B226,'商品'!$A$4:$A$18,0)),""))</f>
        <v/>
      </c>
      <c r="H226" s="12">
        <f>IF(OR($B226="",$G226=""),"",$G226*(N($D226)-N($F226)))</f>
        <v/>
      </c>
      <c r="I226" s="12">
        <f>IF($H226="","",$H226*'設定'!$C$4)</f>
        <v/>
      </c>
      <c r="J226" s="13">
        <f>IF(N($C226)=0,"",N($D226)/$C226)</f>
        <v/>
      </c>
      <c r="K226" s="13">
        <f>IF(N($D226)=0,"",N($E226)/$D226)</f>
        <v/>
      </c>
    </row>
    <row r="227">
      <c r="A227" s="8" t="n"/>
      <c r="B227" s="7" t="n"/>
      <c r="C227" s="10" t="n"/>
      <c r="D227" s="11" t="n"/>
      <c r="E227" s="11" t="n"/>
      <c r="F227" s="11" t="n"/>
      <c r="G227" s="12">
        <f>IF($B227="","",IFERROR(INDEX('商品'!$C$4:$C$18,MATCH($B227,'商品'!$A$4:$A$18,0)),""))</f>
        <v/>
      </c>
      <c r="H227" s="12">
        <f>IF(OR($B227="",$G227=""),"",$G227*(N($D227)-N($F227)))</f>
        <v/>
      </c>
      <c r="I227" s="12">
        <f>IF($H227="","",$H227*'設定'!$C$4)</f>
        <v/>
      </c>
      <c r="J227" s="13">
        <f>IF(N($C227)=0,"",N($D227)/$C227)</f>
        <v/>
      </c>
      <c r="K227" s="13">
        <f>IF(N($D227)=0,"",N($E227)/$D227)</f>
        <v/>
      </c>
    </row>
    <row r="228">
      <c r="A228" s="8" t="n"/>
      <c r="B228" s="7" t="n"/>
      <c r="C228" s="10" t="n"/>
      <c r="D228" s="11" t="n"/>
      <c r="E228" s="11" t="n"/>
      <c r="F228" s="11" t="n"/>
      <c r="G228" s="12">
        <f>IF($B228="","",IFERROR(INDEX('商品'!$C$4:$C$18,MATCH($B228,'商品'!$A$4:$A$18,0)),""))</f>
        <v/>
      </c>
      <c r="H228" s="12">
        <f>IF(OR($B228="",$G228=""),"",$G228*(N($D228)-N($F228)))</f>
        <v/>
      </c>
      <c r="I228" s="12">
        <f>IF($H228="","",$H228*'設定'!$C$4)</f>
        <v/>
      </c>
      <c r="J228" s="13">
        <f>IF(N($C228)=0,"",N($D228)/$C228)</f>
        <v/>
      </c>
      <c r="K228" s="13">
        <f>IF(N($D228)=0,"",N($E228)/$D228)</f>
        <v/>
      </c>
    </row>
    <row r="229">
      <c r="A229" s="8" t="n"/>
      <c r="B229" s="7" t="n"/>
      <c r="C229" s="10" t="n"/>
      <c r="D229" s="11" t="n"/>
      <c r="E229" s="11" t="n"/>
      <c r="F229" s="11" t="n"/>
      <c r="G229" s="12">
        <f>IF($B229="","",IFERROR(INDEX('商品'!$C$4:$C$18,MATCH($B229,'商品'!$A$4:$A$18,0)),""))</f>
        <v/>
      </c>
      <c r="H229" s="12">
        <f>IF(OR($B229="",$G229=""),"",$G229*(N($D229)-N($F229)))</f>
        <v/>
      </c>
      <c r="I229" s="12">
        <f>IF($H229="","",$H229*'設定'!$C$4)</f>
        <v/>
      </c>
      <c r="J229" s="13">
        <f>IF(N($C229)=0,"",N($D229)/$C229)</f>
        <v/>
      </c>
      <c r="K229" s="13">
        <f>IF(N($D229)=0,"",N($E229)/$D229)</f>
        <v/>
      </c>
    </row>
    <row r="230">
      <c r="A230" s="8" t="n"/>
      <c r="B230" s="7" t="n"/>
      <c r="C230" s="10" t="n"/>
      <c r="D230" s="11" t="n"/>
      <c r="E230" s="11" t="n"/>
      <c r="F230" s="11" t="n"/>
      <c r="G230" s="12">
        <f>IF($B230="","",IFERROR(INDEX('商品'!$C$4:$C$18,MATCH($B230,'商品'!$A$4:$A$18,0)),""))</f>
        <v/>
      </c>
      <c r="H230" s="12">
        <f>IF(OR($B230="",$G230=""),"",$G230*(N($D230)-N($F230)))</f>
        <v/>
      </c>
      <c r="I230" s="12">
        <f>IF($H230="","",$H230*'設定'!$C$4)</f>
        <v/>
      </c>
      <c r="J230" s="13">
        <f>IF(N($C230)=0,"",N($D230)/$C230)</f>
        <v/>
      </c>
      <c r="K230" s="13">
        <f>IF(N($D230)=0,"",N($E230)/$D230)</f>
        <v/>
      </c>
    </row>
    <row r="231">
      <c r="A231" s="8" t="n"/>
      <c r="B231" s="7" t="n"/>
      <c r="C231" s="10" t="n"/>
      <c r="D231" s="11" t="n"/>
      <c r="E231" s="11" t="n"/>
      <c r="F231" s="11" t="n"/>
      <c r="G231" s="12">
        <f>IF($B231="","",IFERROR(INDEX('商品'!$C$4:$C$18,MATCH($B231,'商品'!$A$4:$A$18,0)),""))</f>
        <v/>
      </c>
      <c r="H231" s="12">
        <f>IF(OR($B231="",$G231=""),"",$G231*(N($D231)-N($F231)))</f>
        <v/>
      </c>
      <c r="I231" s="12">
        <f>IF($H231="","",$H231*'設定'!$C$4)</f>
        <v/>
      </c>
      <c r="J231" s="13">
        <f>IF(N($C231)=0,"",N($D231)/$C231)</f>
        <v/>
      </c>
      <c r="K231" s="13">
        <f>IF(N($D231)=0,"",N($E231)/$D231)</f>
        <v/>
      </c>
    </row>
    <row r="232">
      <c r="A232" s="8" t="n"/>
      <c r="B232" s="7" t="n"/>
      <c r="C232" s="10" t="n"/>
      <c r="D232" s="11" t="n"/>
      <c r="E232" s="11" t="n"/>
      <c r="F232" s="11" t="n"/>
      <c r="G232" s="12">
        <f>IF($B232="","",IFERROR(INDEX('商品'!$C$4:$C$18,MATCH($B232,'商品'!$A$4:$A$18,0)),""))</f>
        <v/>
      </c>
      <c r="H232" s="12">
        <f>IF(OR($B232="",$G232=""),"",$G232*(N($D232)-N($F232)))</f>
        <v/>
      </c>
      <c r="I232" s="12">
        <f>IF($H232="","",$H232*'設定'!$C$4)</f>
        <v/>
      </c>
      <c r="J232" s="13">
        <f>IF(N($C232)=0,"",N($D232)/$C232)</f>
        <v/>
      </c>
      <c r="K232" s="13">
        <f>IF(N($D232)=0,"",N($E232)/$D232)</f>
        <v/>
      </c>
    </row>
    <row r="233">
      <c r="A233" s="8" t="n"/>
      <c r="B233" s="7" t="n"/>
      <c r="C233" s="10" t="n"/>
      <c r="D233" s="11" t="n"/>
      <c r="E233" s="11" t="n"/>
      <c r="F233" s="11" t="n"/>
      <c r="G233" s="12">
        <f>IF($B233="","",IFERROR(INDEX('商品'!$C$4:$C$18,MATCH($B233,'商品'!$A$4:$A$18,0)),""))</f>
        <v/>
      </c>
      <c r="H233" s="12">
        <f>IF(OR($B233="",$G233=""),"",$G233*(N($D233)-N($F233)))</f>
        <v/>
      </c>
      <c r="I233" s="12">
        <f>IF($H233="","",$H233*'設定'!$C$4)</f>
        <v/>
      </c>
      <c r="J233" s="13">
        <f>IF(N($C233)=0,"",N($D233)/$C233)</f>
        <v/>
      </c>
      <c r="K233" s="13">
        <f>IF(N($D233)=0,"",N($E233)/$D233)</f>
        <v/>
      </c>
    </row>
    <row r="234">
      <c r="A234" s="8" t="n"/>
      <c r="B234" s="7" t="n"/>
      <c r="C234" s="10" t="n"/>
      <c r="D234" s="11" t="n"/>
      <c r="E234" s="11" t="n"/>
      <c r="F234" s="11" t="n"/>
      <c r="G234" s="12">
        <f>IF($B234="","",IFERROR(INDEX('商品'!$C$4:$C$18,MATCH($B234,'商品'!$A$4:$A$18,0)),""))</f>
        <v/>
      </c>
      <c r="H234" s="12">
        <f>IF(OR($B234="",$G234=""),"",$G234*(N($D234)-N($F234)))</f>
        <v/>
      </c>
      <c r="I234" s="12">
        <f>IF($H234="","",$H234*'設定'!$C$4)</f>
        <v/>
      </c>
      <c r="J234" s="13">
        <f>IF(N($C234)=0,"",N($D234)/$C234)</f>
        <v/>
      </c>
      <c r="K234" s="13">
        <f>IF(N($D234)=0,"",N($E234)/$D234)</f>
        <v/>
      </c>
    </row>
    <row r="235">
      <c r="A235" s="8" t="n"/>
      <c r="B235" s="7" t="n"/>
      <c r="C235" s="10" t="n"/>
      <c r="D235" s="11" t="n"/>
      <c r="E235" s="11" t="n"/>
      <c r="F235" s="11" t="n"/>
      <c r="G235" s="12">
        <f>IF($B235="","",IFERROR(INDEX('商品'!$C$4:$C$18,MATCH($B235,'商品'!$A$4:$A$18,0)),""))</f>
        <v/>
      </c>
      <c r="H235" s="12">
        <f>IF(OR($B235="",$G235=""),"",$G235*(N($D235)-N($F235)))</f>
        <v/>
      </c>
      <c r="I235" s="12">
        <f>IF($H235="","",$H235*'設定'!$C$4)</f>
        <v/>
      </c>
      <c r="J235" s="13">
        <f>IF(N($C235)=0,"",N($D235)/$C235)</f>
        <v/>
      </c>
      <c r="K235" s="13">
        <f>IF(N($D235)=0,"",N($E235)/$D235)</f>
        <v/>
      </c>
    </row>
    <row r="236">
      <c r="A236" s="8" t="n"/>
      <c r="B236" s="7" t="n"/>
      <c r="C236" s="10" t="n"/>
      <c r="D236" s="11" t="n"/>
      <c r="E236" s="11" t="n"/>
      <c r="F236" s="11" t="n"/>
      <c r="G236" s="12">
        <f>IF($B236="","",IFERROR(INDEX('商品'!$C$4:$C$18,MATCH($B236,'商品'!$A$4:$A$18,0)),""))</f>
        <v/>
      </c>
      <c r="H236" s="12">
        <f>IF(OR($B236="",$G236=""),"",$G236*(N($D236)-N($F236)))</f>
        <v/>
      </c>
      <c r="I236" s="12">
        <f>IF($H236="","",$H236*'設定'!$C$4)</f>
        <v/>
      </c>
      <c r="J236" s="13">
        <f>IF(N($C236)=0,"",N($D236)/$C236)</f>
        <v/>
      </c>
      <c r="K236" s="13">
        <f>IF(N($D236)=0,"",N($E236)/$D236)</f>
        <v/>
      </c>
    </row>
    <row r="237">
      <c r="A237" s="8" t="n"/>
      <c r="B237" s="7" t="n"/>
      <c r="C237" s="10" t="n"/>
      <c r="D237" s="11" t="n"/>
      <c r="E237" s="11" t="n"/>
      <c r="F237" s="11" t="n"/>
      <c r="G237" s="12">
        <f>IF($B237="","",IFERROR(INDEX('商品'!$C$4:$C$18,MATCH($B237,'商品'!$A$4:$A$18,0)),""))</f>
        <v/>
      </c>
      <c r="H237" s="12">
        <f>IF(OR($B237="",$G237=""),"",$G237*(N($D237)-N($F237)))</f>
        <v/>
      </c>
      <c r="I237" s="12">
        <f>IF($H237="","",$H237*'設定'!$C$4)</f>
        <v/>
      </c>
      <c r="J237" s="13">
        <f>IF(N($C237)=0,"",N($D237)/$C237)</f>
        <v/>
      </c>
      <c r="K237" s="13">
        <f>IF(N($D237)=0,"",N($E237)/$D237)</f>
        <v/>
      </c>
    </row>
    <row r="238">
      <c r="A238" s="8" t="n"/>
      <c r="B238" s="7" t="n"/>
      <c r="C238" s="10" t="n"/>
      <c r="D238" s="11" t="n"/>
      <c r="E238" s="11" t="n"/>
      <c r="F238" s="11" t="n"/>
      <c r="G238" s="12">
        <f>IF($B238="","",IFERROR(INDEX('商品'!$C$4:$C$18,MATCH($B238,'商品'!$A$4:$A$18,0)),""))</f>
        <v/>
      </c>
      <c r="H238" s="12">
        <f>IF(OR($B238="",$G238=""),"",$G238*(N($D238)-N($F238)))</f>
        <v/>
      </c>
      <c r="I238" s="12">
        <f>IF($H238="","",$H238*'設定'!$C$4)</f>
        <v/>
      </c>
      <c r="J238" s="13">
        <f>IF(N($C238)=0,"",N($D238)/$C238)</f>
        <v/>
      </c>
      <c r="K238" s="13">
        <f>IF(N($D238)=0,"",N($E238)/$D238)</f>
        <v/>
      </c>
    </row>
    <row r="239">
      <c r="A239" s="8" t="n"/>
      <c r="B239" s="7" t="n"/>
      <c r="C239" s="10" t="n"/>
      <c r="D239" s="11" t="n"/>
      <c r="E239" s="11" t="n"/>
      <c r="F239" s="11" t="n"/>
      <c r="G239" s="12">
        <f>IF($B239="","",IFERROR(INDEX('商品'!$C$4:$C$18,MATCH($B239,'商品'!$A$4:$A$18,0)),""))</f>
        <v/>
      </c>
      <c r="H239" s="12">
        <f>IF(OR($B239="",$G239=""),"",$G239*(N($D239)-N($F239)))</f>
        <v/>
      </c>
      <c r="I239" s="12">
        <f>IF($H239="","",$H239*'設定'!$C$4)</f>
        <v/>
      </c>
      <c r="J239" s="13">
        <f>IF(N($C239)=0,"",N($D239)/$C239)</f>
        <v/>
      </c>
      <c r="K239" s="13">
        <f>IF(N($D239)=0,"",N($E239)/$D239)</f>
        <v/>
      </c>
    </row>
    <row r="240">
      <c r="A240" s="8" t="n"/>
      <c r="B240" s="7" t="n"/>
      <c r="C240" s="10" t="n"/>
      <c r="D240" s="11" t="n"/>
      <c r="E240" s="11" t="n"/>
      <c r="F240" s="11" t="n"/>
      <c r="G240" s="12">
        <f>IF($B240="","",IFERROR(INDEX('商品'!$C$4:$C$18,MATCH($B240,'商品'!$A$4:$A$18,0)),""))</f>
        <v/>
      </c>
      <c r="H240" s="12">
        <f>IF(OR($B240="",$G240=""),"",$G240*(N($D240)-N($F240)))</f>
        <v/>
      </c>
      <c r="I240" s="12">
        <f>IF($H240="","",$H240*'設定'!$C$4)</f>
        <v/>
      </c>
      <c r="J240" s="13">
        <f>IF(N($C240)=0,"",N($D240)/$C240)</f>
        <v/>
      </c>
      <c r="K240" s="13">
        <f>IF(N($D240)=0,"",N($E240)/$D240)</f>
        <v/>
      </c>
    </row>
    <row r="241">
      <c r="A241" s="8" t="n"/>
      <c r="B241" s="7" t="n"/>
      <c r="C241" s="10" t="n"/>
      <c r="D241" s="11" t="n"/>
      <c r="E241" s="11" t="n"/>
      <c r="F241" s="11" t="n"/>
      <c r="G241" s="12">
        <f>IF($B241="","",IFERROR(INDEX('商品'!$C$4:$C$18,MATCH($B241,'商品'!$A$4:$A$18,0)),""))</f>
        <v/>
      </c>
      <c r="H241" s="12">
        <f>IF(OR($B241="",$G241=""),"",$G241*(N($D241)-N($F241)))</f>
        <v/>
      </c>
      <c r="I241" s="12">
        <f>IF($H241="","",$H241*'設定'!$C$4)</f>
        <v/>
      </c>
      <c r="J241" s="13">
        <f>IF(N($C241)=0,"",N($D241)/$C241)</f>
        <v/>
      </c>
      <c r="K241" s="13">
        <f>IF(N($D241)=0,"",N($E241)/$D241)</f>
        <v/>
      </c>
    </row>
    <row r="242">
      <c r="A242" s="8" t="n"/>
      <c r="B242" s="7" t="n"/>
      <c r="C242" s="10" t="n"/>
      <c r="D242" s="11" t="n"/>
      <c r="E242" s="11" t="n"/>
      <c r="F242" s="11" t="n"/>
      <c r="G242" s="12">
        <f>IF($B242="","",IFERROR(INDEX('商品'!$C$4:$C$18,MATCH($B242,'商品'!$A$4:$A$18,0)),""))</f>
        <v/>
      </c>
      <c r="H242" s="12">
        <f>IF(OR($B242="",$G242=""),"",$G242*(N($D242)-N($F242)))</f>
        <v/>
      </c>
      <c r="I242" s="12">
        <f>IF($H242="","",$H242*'設定'!$C$4)</f>
        <v/>
      </c>
      <c r="J242" s="13">
        <f>IF(N($C242)=0,"",N($D242)/$C242)</f>
        <v/>
      </c>
      <c r="K242" s="13">
        <f>IF(N($D242)=0,"",N($E242)/$D242)</f>
        <v/>
      </c>
    </row>
    <row r="243">
      <c r="A243" s="8" t="n"/>
      <c r="B243" s="7" t="n"/>
      <c r="C243" s="10" t="n"/>
      <c r="D243" s="11" t="n"/>
      <c r="E243" s="11" t="n"/>
      <c r="F243" s="11" t="n"/>
      <c r="G243" s="12">
        <f>IF($B243="","",IFERROR(INDEX('商品'!$C$4:$C$18,MATCH($B243,'商品'!$A$4:$A$18,0)),""))</f>
        <v/>
      </c>
      <c r="H243" s="12">
        <f>IF(OR($B243="",$G243=""),"",$G243*(N($D243)-N($F243)))</f>
        <v/>
      </c>
      <c r="I243" s="12">
        <f>IF($H243="","",$H243*'設定'!$C$4)</f>
        <v/>
      </c>
      <c r="J243" s="13">
        <f>IF(N($C243)=0,"",N($D243)/$C243)</f>
        <v/>
      </c>
      <c r="K243" s="13">
        <f>IF(N($D243)=0,"",N($E243)/$D243)</f>
        <v/>
      </c>
    </row>
    <row r="244">
      <c r="A244" s="8" t="n"/>
      <c r="B244" s="7" t="n"/>
      <c r="C244" s="10" t="n"/>
      <c r="D244" s="11" t="n"/>
      <c r="E244" s="11" t="n"/>
      <c r="F244" s="11" t="n"/>
      <c r="G244" s="12">
        <f>IF($B244="","",IFERROR(INDEX('商品'!$C$4:$C$18,MATCH($B244,'商品'!$A$4:$A$18,0)),""))</f>
        <v/>
      </c>
      <c r="H244" s="12">
        <f>IF(OR($B244="",$G244=""),"",$G244*(N($D244)-N($F244)))</f>
        <v/>
      </c>
      <c r="I244" s="12">
        <f>IF($H244="","",$H244*'設定'!$C$4)</f>
        <v/>
      </c>
      <c r="J244" s="13">
        <f>IF(N($C244)=0,"",N($D244)/$C244)</f>
        <v/>
      </c>
      <c r="K244" s="13">
        <f>IF(N($D244)=0,"",N($E244)/$D244)</f>
        <v/>
      </c>
    </row>
    <row r="245">
      <c r="A245" s="8" t="n"/>
      <c r="B245" s="7" t="n"/>
      <c r="C245" s="10" t="n"/>
      <c r="D245" s="11" t="n"/>
      <c r="E245" s="11" t="n"/>
      <c r="F245" s="11" t="n"/>
      <c r="G245" s="12">
        <f>IF($B245="","",IFERROR(INDEX('商品'!$C$4:$C$18,MATCH($B245,'商品'!$A$4:$A$18,0)),""))</f>
        <v/>
      </c>
      <c r="H245" s="12">
        <f>IF(OR($B245="",$G245=""),"",$G245*(N($D245)-N($F245)))</f>
        <v/>
      </c>
      <c r="I245" s="12">
        <f>IF($H245="","",$H245*'設定'!$C$4)</f>
        <v/>
      </c>
      <c r="J245" s="13">
        <f>IF(N($C245)=0,"",N($D245)/$C245)</f>
        <v/>
      </c>
      <c r="K245" s="13">
        <f>IF(N($D245)=0,"",N($E245)/$D245)</f>
        <v/>
      </c>
    </row>
    <row r="246">
      <c r="A246" s="8" t="n"/>
      <c r="B246" s="7" t="n"/>
      <c r="C246" s="10" t="n"/>
      <c r="D246" s="11" t="n"/>
      <c r="E246" s="11" t="n"/>
      <c r="F246" s="11" t="n"/>
      <c r="G246" s="12">
        <f>IF($B246="","",IFERROR(INDEX('商品'!$C$4:$C$18,MATCH($B246,'商品'!$A$4:$A$18,0)),""))</f>
        <v/>
      </c>
      <c r="H246" s="12">
        <f>IF(OR($B246="",$G246=""),"",$G246*(N($D246)-N($F246)))</f>
        <v/>
      </c>
      <c r="I246" s="12">
        <f>IF($H246="","",$H246*'設定'!$C$4)</f>
        <v/>
      </c>
      <c r="J246" s="13">
        <f>IF(N($C246)=0,"",N($D246)/$C246)</f>
        <v/>
      </c>
      <c r="K246" s="13">
        <f>IF(N($D246)=0,"",N($E246)/$D246)</f>
        <v/>
      </c>
    </row>
    <row r="247">
      <c r="A247" s="8" t="n"/>
      <c r="B247" s="7" t="n"/>
      <c r="C247" s="10" t="n"/>
      <c r="D247" s="11" t="n"/>
      <c r="E247" s="11" t="n"/>
      <c r="F247" s="11" t="n"/>
      <c r="G247" s="12">
        <f>IF($B247="","",IFERROR(INDEX('商品'!$C$4:$C$18,MATCH($B247,'商品'!$A$4:$A$18,0)),""))</f>
        <v/>
      </c>
      <c r="H247" s="12">
        <f>IF(OR($B247="",$G247=""),"",$G247*(N($D247)-N($F247)))</f>
        <v/>
      </c>
      <c r="I247" s="12">
        <f>IF($H247="","",$H247*'設定'!$C$4)</f>
        <v/>
      </c>
      <c r="J247" s="13">
        <f>IF(N($C247)=0,"",N($D247)/$C247)</f>
        <v/>
      </c>
      <c r="K247" s="13">
        <f>IF(N($D247)=0,"",N($E247)/$D247)</f>
        <v/>
      </c>
    </row>
    <row r="248">
      <c r="A248" s="8" t="n"/>
      <c r="B248" s="7" t="n"/>
      <c r="C248" s="10" t="n"/>
      <c r="D248" s="11" t="n"/>
      <c r="E248" s="11" t="n"/>
      <c r="F248" s="11" t="n"/>
      <c r="G248" s="12">
        <f>IF($B248="","",IFERROR(INDEX('商品'!$C$4:$C$18,MATCH($B248,'商品'!$A$4:$A$18,0)),""))</f>
        <v/>
      </c>
      <c r="H248" s="12">
        <f>IF(OR($B248="",$G248=""),"",$G248*(N($D248)-N($F248)))</f>
        <v/>
      </c>
      <c r="I248" s="12">
        <f>IF($H248="","",$H248*'設定'!$C$4)</f>
        <v/>
      </c>
      <c r="J248" s="13">
        <f>IF(N($C248)=0,"",N($D248)/$C248)</f>
        <v/>
      </c>
      <c r="K248" s="13">
        <f>IF(N($D248)=0,"",N($E248)/$D248)</f>
        <v/>
      </c>
    </row>
    <row r="249">
      <c r="A249" s="8" t="n"/>
      <c r="B249" s="7" t="n"/>
      <c r="C249" s="10" t="n"/>
      <c r="D249" s="11" t="n"/>
      <c r="E249" s="11" t="n"/>
      <c r="F249" s="11" t="n"/>
      <c r="G249" s="12">
        <f>IF($B249="","",IFERROR(INDEX('商品'!$C$4:$C$18,MATCH($B249,'商品'!$A$4:$A$18,0)),""))</f>
        <v/>
      </c>
      <c r="H249" s="12">
        <f>IF(OR($B249="",$G249=""),"",$G249*(N($D249)-N($F249)))</f>
        <v/>
      </c>
      <c r="I249" s="12">
        <f>IF($H249="","",$H249*'設定'!$C$4)</f>
        <v/>
      </c>
      <c r="J249" s="13">
        <f>IF(N($C249)=0,"",N($D249)/$C249)</f>
        <v/>
      </c>
      <c r="K249" s="13">
        <f>IF(N($D249)=0,"",N($E249)/$D249)</f>
        <v/>
      </c>
    </row>
    <row r="250">
      <c r="A250" s="8" t="n"/>
      <c r="B250" s="7" t="n"/>
      <c r="C250" s="10" t="n"/>
      <c r="D250" s="11" t="n"/>
      <c r="E250" s="11" t="n"/>
      <c r="F250" s="11" t="n"/>
      <c r="G250" s="12">
        <f>IF($B250="","",IFERROR(INDEX('商品'!$C$4:$C$18,MATCH($B250,'商品'!$A$4:$A$18,0)),""))</f>
        <v/>
      </c>
      <c r="H250" s="12">
        <f>IF(OR($B250="",$G250=""),"",$G250*(N($D250)-N($F250)))</f>
        <v/>
      </c>
      <c r="I250" s="12">
        <f>IF($H250="","",$H250*'設定'!$C$4)</f>
        <v/>
      </c>
      <c r="J250" s="13">
        <f>IF(N($C250)=0,"",N($D250)/$C250)</f>
        <v/>
      </c>
      <c r="K250" s="13">
        <f>IF(N($D250)=0,"",N($E250)/$D250)</f>
        <v/>
      </c>
    </row>
    <row r="251">
      <c r="A251" s="8" t="n"/>
      <c r="B251" s="7" t="n"/>
      <c r="C251" s="10" t="n"/>
      <c r="D251" s="11" t="n"/>
      <c r="E251" s="11" t="n"/>
      <c r="F251" s="11" t="n"/>
      <c r="G251" s="12">
        <f>IF($B251="","",IFERROR(INDEX('商品'!$C$4:$C$18,MATCH($B251,'商品'!$A$4:$A$18,0)),""))</f>
        <v/>
      </c>
      <c r="H251" s="12">
        <f>IF(OR($B251="",$G251=""),"",$G251*(N($D251)-N($F251)))</f>
        <v/>
      </c>
      <c r="I251" s="12">
        <f>IF($H251="","",$H251*'設定'!$C$4)</f>
        <v/>
      </c>
      <c r="J251" s="13">
        <f>IF(N($C251)=0,"",N($D251)/$C251)</f>
        <v/>
      </c>
      <c r="K251" s="13">
        <f>IF(N($D251)=0,"",N($E251)/$D251)</f>
        <v/>
      </c>
    </row>
    <row r="252">
      <c r="A252" s="8" t="n"/>
      <c r="B252" s="7" t="n"/>
      <c r="C252" s="10" t="n"/>
      <c r="D252" s="11" t="n"/>
      <c r="E252" s="11" t="n"/>
      <c r="F252" s="11" t="n"/>
      <c r="G252" s="12">
        <f>IF($B252="","",IFERROR(INDEX('商品'!$C$4:$C$18,MATCH($B252,'商品'!$A$4:$A$18,0)),""))</f>
        <v/>
      </c>
      <c r="H252" s="12">
        <f>IF(OR($B252="",$G252=""),"",$G252*(N($D252)-N($F252)))</f>
        <v/>
      </c>
      <c r="I252" s="12">
        <f>IF($H252="","",$H252*'設定'!$C$4)</f>
        <v/>
      </c>
      <c r="J252" s="13">
        <f>IF(N($C252)=0,"",N($D252)/$C252)</f>
        <v/>
      </c>
      <c r="K252" s="13">
        <f>IF(N($D252)=0,"",N($E252)/$D252)</f>
        <v/>
      </c>
    </row>
    <row r="253">
      <c r="A253" s="8" t="n"/>
      <c r="B253" s="7" t="n"/>
      <c r="C253" s="10" t="n"/>
      <c r="D253" s="11" t="n"/>
      <c r="E253" s="11" t="n"/>
      <c r="F253" s="11" t="n"/>
      <c r="G253" s="12">
        <f>IF($B253="","",IFERROR(INDEX('商品'!$C$4:$C$18,MATCH($B253,'商品'!$A$4:$A$18,0)),""))</f>
        <v/>
      </c>
      <c r="H253" s="12">
        <f>IF(OR($B253="",$G253=""),"",$G253*(N($D253)-N($F253)))</f>
        <v/>
      </c>
      <c r="I253" s="12">
        <f>IF($H253="","",$H253*'設定'!$C$4)</f>
        <v/>
      </c>
      <c r="J253" s="13">
        <f>IF(N($C253)=0,"",N($D253)/$C253)</f>
        <v/>
      </c>
      <c r="K253" s="13">
        <f>IF(N($D253)=0,"",N($E253)/$D253)</f>
        <v/>
      </c>
    </row>
    <row r="254">
      <c r="A254" s="8" t="n"/>
      <c r="B254" s="7" t="n"/>
      <c r="C254" s="10" t="n"/>
      <c r="D254" s="11" t="n"/>
      <c r="E254" s="11" t="n"/>
      <c r="F254" s="11" t="n"/>
      <c r="G254" s="12">
        <f>IF($B254="","",IFERROR(INDEX('商品'!$C$4:$C$18,MATCH($B254,'商品'!$A$4:$A$18,0)),""))</f>
        <v/>
      </c>
      <c r="H254" s="12">
        <f>IF(OR($B254="",$G254=""),"",$G254*(N($D254)-N($F254)))</f>
        <v/>
      </c>
      <c r="I254" s="12">
        <f>IF($H254="","",$H254*'設定'!$C$4)</f>
        <v/>
      </c>
      <c r="J254" s="13">
        <f>IF(N($C254)=0,"",N($D254)/$C254)</f>
        <v/>
      </c>
      <c r="K254" s="13">
        <f>IF(N($D254)=0,"",N($E254)/$D254)</f>
        <v/>
      </c>
    </row>
    <row r="255">
      <c r="A255" s="8" t="n"/>
      <c r="B255" s="7" t="n"/>
      <c r="C255" s="10" t="n"/>
      <c r="D255" s="11" t="n"/>
      <c r="E255" s="11" t="n"/>
      <c r="F255" s="11" t="n"/>
      <c r="G255" s="12">
        <f>IF($B255="","",IFERROR(INDEX('商品'!$C$4:$C$18,MATCH($B255,'商品'!$A$4:$A$18,0)),""))</f>
        <v/>
      </c>
      <c r="H255" s="12">
        <f>IF(OR($B255="",$G255=""),"",$G255*(N($D255)-N($F255)))</f>
        <v/>
      </c>
      <c r="I255" s="12">
        <f>IF($H255="","",$H255*'設定'!$C$4)</f>
        <v/>
      </c>
      <c r="J255" s="13">
        <f>IF(N($C255)=0,"",N($D255)/$C255)</f>
        <v/>
      </c>
      <c r="K255" s="13">
        <f>IF(N($D255)=0,"",N($E255)/$D255)</f>
        <v/>
      </c>
    </row>
    <row r="256">
      <c r="A256" s="8" t="n"/>
      <c r="B256" s="7" t="n"/>
      <c r="C256" s="10" t="n"/>
      <c r="D256" s="11" t="n"/>
      <c r="E256" s="11" t="n"/>
      <c r="F256" s="11" t="n"/>
      <c r="G256" s="12">
        <f>IF($B256="","",IFERROR(INDEX('商品'!$C$4:$C$18,MATCH($B256,'商品'!$A$4:$A$18,0)),""))</f>
        <v/>
      </c>
      <c r="H256" s="12">
        <f>IF(OR($B256="",$G256=""),"",$G256*(N($D256)-N($F256)))</f>
        <v/>
      </c>
      <c r="I256" s="12">
        <f>IF($H256="","",$H256*'設定'!$C$4)</f>
        <v/>
      </c>
      <c r="J256" s="13">
        <f>IF(N($C256)=0,"",N($D256)/$C256)</f>
        <v/>
      </c>
      <c r="K256" s="13">
        <f>IF(N($D256)=0,"",N($E256)/$D256)</f>
        <v/>
      </c>
    </row>
    <row r="257">
      <c r="A257" s="8" t="n"/>
      <c r="B257" s="7" t="n"/>
      <c r="C257" s="10" t="n"/>
      <c r="D257" s="11" t="n"/>
      <c r="E257" s="11" t="n"/>
      <c r="F257" s="11" t="n"/>
      <c r="G257" s="12">
        <f>IF($B257="","",IFERROR(INDEX('商品'!$C$4:$C$18,MATCH($B257,'商品'!$A$4:$A$18,0)),""))</f>
        <v/>
      </c>
      <c r="H257" s="12">
        <f>IF(OR($B257="",$G257=""),"",$G257*(N($D257)-N($F257)))</f>
        <v/>
      </c>
      <c r="I257" s="12">
        <f>IF($H257="","",$H257*'設定'!$C$4)</f>
        <v/>
      </c>
      <c r="J257" s="13">
        <f>IF(N($C257)=0,"",N($D257)/$C257)</f>
        <v/>
      </c>
      <c r="K257" s="13">
        <f>IF(N($D257)=0,"",N($E257)/$D257)</f>
        <v/>
      </c>
    </row>
    <row r="258">
      <c r="A258" s="8" t="n"/>
      <c r="B258" s="7" t="n"/>
      <c r="C258" s="10" t="n"/>
      <c r="D258" s="11" t="n"/>
      <c r="E258" s="11" t="n"/>
      <c r="F258" s="11" t="n"/>
      <c r="G258" s="12">
        <f>IF($B258="","",IFERROR(INDEX('商品'!$C$4:$C$18,MATCH($B258,'商品'!$A$4:$A$18,0)),""))</f>
        <v/>
      </c>
      <c r="H258" s="12">
        <f>IF(OR($B258="",$G258=""),"",$G258*(N($D258)-N($F258)))</f>
        <v/>
      </c>
      <c r="I258" s="12">
        <f>IF($H258="","",$H258*'設定'!$C$4)</f>
        <v/>
      </c>
      <c r="J258" s="13">
        <f>IF(N($C258)=0,"",N($D258)/$C258)</f>
        <v/>
      </c>
      <c r="K258" s="13">
        <f>IF(N($D258)=0,"",N($E258)/$D258)</f>
        <v/>
      </c>
    </row>
    <row r="259">
      <c r="A259" s="8" t="n"/>
      <c r="B259" s="7" t="n"/>
      <c r="C259" s="10" t="n"/>
      <c r="D259" s="11" t="n"/>
      <c r="E259" s="11" t="n"/>
      <c r="F259" s="11" t="n"/>
      <c r="G259" s="12">
        <f>IF($B259="","",IFERROR(INDEX('商品'!$C$4:$C$18,MATCH($B259,'商品'!$A$4:$A$18,0)),""))</f>
        <v/>
      </c>
      <c r="H259" s="12">
        <f>IF(OR($B259="",$G259=""),"",$G259*(N($D259)-N($F259)))</f>
        <v/>
      </c>
      <c r="I259" s="12">
        <f>IF($H259="","",$H259*'設定'!$C$4)</f>
        <v/>
      </c>
      <c r="J259" s="13">
        <f>IF(N($C259)=0,"",N($D259)/$C259)</f>
        <v/>
      </c>
      <c r="K259" s="13">
        <f>IF(N($D259)=0,"",N($E259)/$D259)</f>
        <v/>
      </c>
    </row>
    <row r="260">
      <c r="A260" s="8" t="n"/>
      <c r="B260" s="7" t="n"/>
      <c r="C260" s="10" t="n"/>
      <c r="D260" s="11" t="n"/>
      <c r="E260" s="11" t="n"/>
      <c r="F260" s="11" t="n"/>
      <c r="G260" s="12">
        <f>IF($B260="","",IFERROR(INDEX('商品'!$C$4:$C$18,MATCH($B260,'商品'!$A$4:$A$18,0)),""))</f>
        <v/>
      </c>
      <c r="H260" s="12">
        <f>IF(OR($B260="",$G260=""),"",$G260*(N($D260)-N($F260)))</f>
        <v/>
      </c>
      <c r="I260" s="12">
        <f>IF($H260="","",$H260*'設定'!$C$4)</f>
        <v/>
      </c>
      <c r="J260" s="13">
        <f>IF(N($C260)=0,"",N($D260)/$C260)</f>
        <v/>
      </c>
      <c r="K260" s="13">
        <f>IF(N($D260)=0,"",N($E260)/$D260)</f>
        <v/>
      </c>
    </row>
    <row r="261">
      <c r="A261" s="8" t="n"/>
      <c r="B261" s="7" t="n"/>
      <c r="C261" s="10" t="n"/>
      <c r="D261" s="11" t="n"/>
      <c r="E261" s="11" t="n"/>
      <c r="F261" s="11" t="n"/>
      <c r="G261" s="12">
        <f>IF($B261="","",IFERROR(INDEX('商品'!$C$4:$C$18,MATCH($B261,'商品'!$A$4:$A$18,0)),""))</f>
        <v/>
      </c>
      <c r="H261" s="12">
        <f>IF(OR($B261="",$G261=""),"",$G261*(N($D261)-N($F261)))</f>
        <v/>
      </c>
      <c r="I261" s="12">
        <f>IF($H261="","",$H261*'設定'!$C$4)</f>
        <v/>
      </c>
      <c r="J261" s="13">
        <f>IF(N($C261)=0,"",N($D261)/$C261)</f>
        <v/>
      </c>
      <c r="K261" s="13">
        <f>IF(N($D261)=0,"",N($E261)/$D261)</f>
        <v/>
      </c>
    </row>
    <row r="262">
      <c r="A262" s="8" t="n"/>
      <c r="B262" s="7" t="n"/>
      <c r="C262" s="10" t="n"/>
      <c r="D262" s="11" t="n"/>
      <c r="E262" s="11" t="n"/>
      <c r="F262" s="11" t="n"/>
      <c r="G262" s="12">
        <f>IF($B262="","",IFERROR(INDEX('商品'!$C$4:$C$18,MATCH($B262,'商品'!$A$4:$A$18,0)),""))</f>
        <v/>
      </c>
      <c r="H262" s="12">
        <f>IF(OR($B262="",$G262=""),"",$G262*(N($D262)-N($F262)))</f>
        <v/>
      </c>
      <c r="I262" s="12">
        <f>IF($H262="","",$H262*'設定'!$C$4)</f>
        <v/>
      </c>
      <c r="J262" s="13">
        <f>IF(N($C262)=0,"",N($D262)/$C262)</f>
        <v/>
      </c>
      <c r="K262" s="13">
        <f>IF(N($D262)=0,"",N($E262)/$D262)</f>
        <v/>
      </c>
    </row>
    <row r="263">
      <c r="A263" s="8" t="n"/>
      <c r="B263" s="7" t="n"/>
      <c r="C263" s="10" t="n"/>
      <c r="D263" s="11" t="n"/>
      <c r="E263" s="11" t="n"/>
      <c r="F263" s="11" t="n"/>
      <c r="G263" s="12">
        <f>IF($B263="","",IFERROR(INDEX('商品'!$C$4:$C$18,MATCH($B263,'商品'!$A$4:$A$18,0)),""))</f>
        <v/>
      </c>
      <c r="H263" s="12">
        <f>IF(OR($B263="",$G263=""),"",$G263*(N($D263)-N($F263)))</f>
        <v/>
      </c>
      <c r="I263" s="12">
        <f>IF($H263="","",$H263*'設定'!$C$4)</f>
        <v/>
      </c>
      <c r="J263" s="13">
        <f>IF(N($C263)=0,"",N($D263)/$C263)</f>
        <v/>
      </c>
      <c r="K263" s="13">
        <f>IF(N($D263)=0,"",N($E263)/$D263)</f>
        <v/>
      </c>
    </row>
    <row r="264">
      <c r="A264" s="8" t="n"/>
      <c r="B264" s="7" t="n"/>
      <c r="C264" s="10" t="n"/>
      <c r="D264" s="11" t="n"/>
      <c r="E264" s="11" t="n"/>
      <c r="F264" s="11" t="n"/>
      <c r="G264" s="12">
        <f>IF($B264="","",IFERROR(INDEX('商品'!$C$4:$C$18,MATCH($B264,'商品'!$A$4:$A$18,0)),""))</f>
        <v/>
      </c>
      <c r="H264" s="12">
        <f>IF(OR($B264="",$G264=""),"",$G264*(N($D264)-N($F264)))</f>
        <v/>
      </c>
      <c r="I264" s="12">
        <f>IF($H264="","",$H264*'設定'!$C$4)</f>
        <v/>
      </c>
      <c r="J264" s="13">
        <f>IF(N($C264)=0,"",N($D264)/$C264)</f>
        <v/>
      </c>
      <c r="K264" s="13">
        <f>IF(N($D264)=0,"",N($E264)/$D264)</f>
        <v/>
      </c>
    </row>
    <row r="265">
      <c r="A265" s="8" t="n"/>
      <c r="B265" s="7" t="n"/>
      <c r="C265" s="10" t="n"/>
      <c r="D265" s="11" t="n"/>
      <c r="E265" s="11" t="n"/>
      <c r="F265" s="11" t="n"/>
      <c r="G265" s="12">
        <f>IF($B265="","",IFERROR(INDEX('商品'!$C$4:$C$18,MATCH($B265,'商品'!$A$4:$A$18,0)),""))</f>
        <v/>
      </c>
      <c r="H265" s="12">
        <f>IF(OR($B265="",$G265=""),"",$G265*(N($D265)-N($F265)))</f>
        <v/>
      </c>
      <c r="I265" s="12">
        <f>IF($H265="","",$H265*'設定'!$C$4)</f>
        <v/>
      </c>
      <c r="J265" s="13">
        <f>IF(N($C265)=0,"",N($D265)/$C265)</f>
        <v/>
      </c>
      <c r="K265" s="13">
        <f>IF(N($D265)=0,"",N($E265)/$D265)</f>
        <v/>
      </c>
    </row>
    <row r="266">
      <c r="A266" s="8" t="n"/>
      <c r="B266" s="7" t="n"/>
      <c r="C266" s="10" t="n"/>
      <c r="D266" s="11" t="n"/>
      <c r="E266" s="11" t="n"/>
      <c r="F266" s="11" t="n"/>
      <c r="G266" s="12">
        <f>IF($B266="","",IFERROR(INDEX('商品'!$C$4:$C$18,MATCH($B266,'商品'!$A$4:$A$18,0)),""))</f>
        <v/>
      </c>
      <c r="H266" s="12">
        <f>IF(OR($B266="",$G266=""),"",$G266*(N($D266)-N($F266)))</f>
        <v/>
      </c>
      <c r="I266" s="12">
        <f>IF($H266="","",$H266*'設定'!$C$4)</f>
        <v/>
      </c>
      <c r="J266" s="13">
        <f>IF(N($C266)=0,"",N($D266)/$C266)</f>
        <v/>
      </c>
      <c r="K266" s="13">
        <f>IF(N($D266)=0,"",N($E266)/$D266)</f>
        <v/>
      </c>
    </row>
    <row r="267">
      <c r="A267" s="8" t="n"/>
      <c r="B267" s="7" t="n"/>
      <c r="C267" s="10" t="n"/>
      <c r="D267" s="11" t="n"/>
      <c r="E267" s="11" t="n"/>
      <c r="F267" s="11" t="n"/>
      <c r="G267" s="12">
        <f>IF($B267="","",IFERROR(INDEX('商品'!$C$4:$C$18,MATCH($B267,'商品'!$A$4:$A$18,0)),""))</f>
        <v/>
      </c>
      <c r="H267" s="12">
        <f>IF(OR($B267="",$G267=""),"",$G267*(N($D267)-N($F267)))</f>
        <v/>
      </c>
      <c r="I267" s="12">
        <f>IF($H267="","",$H267*'設定'!$C$4)</f>
        <v/>
      </c>
      <c r="J267" s="13">
        <f>IF(N($C267)=0,"",N($D267)/$C267)</f>
        <v/>
      </c>
      <c r="K267" s="13">
        <f>IF(N($D267)=0,"",N($E267)/$D267)</f>
        <v/>
      </c>
    </row>
    <row r="268">
      <c r="A268" s="8" t="n"/>
      <c r="B268" s="7" t="n"/>
      <c r="C268" s="10" t="n"/>
      <c r="D268" s="11" t="n"/>
      <c r="E268" s="11" t="n"/>
      <c r="F268" s="11" t="n"/>
      <c r="G268" s="12">
        <f>IF($B268="","",IFERROR(INDEX('商品'!$C$4:$C$18,MATCH($B268,'商品'!$A$4:$A$18,0)),""))</f>
        <v/>
      </c>
      <c r="H268" s="12">
        <f>IF(OR($B268="",$G268=""),"",$G268*(N($D268)-N($F268)))</f>
        <v/>
      </c>
      <c r="I268" s="12">
        <f>IF($H268="","",$H268*'設定'!$C$4)</f>
        <v/>
      </c>
      <c r="J268" s="13">
        <f>IF(N($C268)=0,"",N($D268)/$C268)</f>
        <v/>
      </c>
      <c r="K268" s="13">
        <f>IF(N($D268)=0,"",N($E268)/$D268)</f>
        <v/>
      </c>
    </row>
    <row r="269">
      <c r="A269" s="8" t="n"/>
      <c r="B269" s="7" t="n"/>
      <c r="C269" s="10" t="n"/>
      <c r="D269" s="11" t="n"/>
      <c r="E269" s="11" t="n"/>
      <c r="F269" s="11" t="n"/>
      <c r="G269" s="12">
        <f>IF($B269="","",IFERROR(INDEX('商品'!$C$4:$C$18,MATCH($B269,'商品'!$A$4:$A$18,0)),""))</f>
        <v/>
      </c>
      <c r="H269" s="12">
        <f>IF(OR($B269="",$G269=""),"",$G269*(N($D269)-N($F269)))</f>
        <v/>
      </c>
      <c r="I269" s="12">
        <f>IF($H269="","",$H269*'設定'!$C$4)</f>
        <v/>
      </c>
      <c r="J269" s="13">
        <f>IF(N($C269)=0,"",N($D269)/$C269)</f>
        <v/>
      </c>
      <c r="K269" s="13">
        <f>IF(N($D269)=0,"",N($E269)/$D269)</f>
        <v/>
      </c>
    </row>
    <row r="270">
      <c r="A270" s="8" t="n"/>
      <c r="B270" s="7" t="n"/>
      <c r="C270" s="10" t="n"/>
      <c r="D270" s="11" t="n"/>
      <c r="E270" s="11" t="n"/>
      <c r="F270" s="11" t="n"/>
      <c r="G270" s="12">
        <f>IF($B270="","",IFERROR(INDEX('商品'!$C$4:$C$18,MATCH($B270,'商品'!$A$4:$A$18,0)),""))</f>
        <v/>
      </c>
      <c r="H270" s="12">
        <f>IF(OR($B270="",$G270=""),"",$G270*(N($D270)-N($F270)))</f>
        <v/>
      </c>
      <c r="I270" s="12">
        <f>IF($H270="","",$H270*'設定'!$C$4)</f>
        <v/>
      </c>
      <c r="J270" s="13">
        <f>IF(N($C270)=0,"",N($D270)/$C270)</f>
        <v/>
      </c>
      <c r="K270" s="13">
        <f>IF(N($D270)=0,"",N($E270)/$D270)</f>
        <v/>
      </c>
    </row>
    <row r="271">
      <c r="A271" s="8" t="n"/>
      <c r="B271" s="7" t="n"/>
      <c r="C271" s="10" t="n"/>
      <c r="D271" s="11" t="n"/>
      <c r="E271" s="11" t="n"/>
      <c r="F271" s="11" t="n"/>
      <c r="G271" s="12">
        <f>IF($B271="","",IFERROR(INDEX('商品'!$C$4:$C$18,MATCH($B271,'商品'!$A$4:$A$18,0)),""))</f>
        <v/>
      </c>
      <c r="H271" s="12">
        <f>IF(OR($B271="",$G271=""),"",$G271*(N($D271)-N($F271)))</f>
        <v/>
      </c>
      <c r="I271" s="12">
        <f>IF($H271="","",$H271*'設定'!$C$4)</f>
        <v/>
      </c>
      <c r="J271" s="13">
        <f>IF(N($C271)=0,"",N($D271)/$C271)</f>
        <v/>
      </c>
      <c r="K271" s="13">
        <f>IF(N($D271)=0,"",N($E271)/$D271)</f>
        <v/>
      </c>
    </row>
    <row r="272">
      <c r="A272" s="8" t="n"/>
      <c r="B272" s="7" t="n"/>
      <c r="C272" s="10" t="n"/>
      <c r="D272" s="11" t="n"/>
      <c r="E272" s="11" t="n"/>
      <c r="F272" s="11" t="n"/>
      <c r="G272" s="12">
        <f>IF($B272="","",IFERROR(INDEX('商品'!$C$4:$C$18,MATCH($B272,'商品'!$A$4:$A$18,0)),""))</f>
        <v/>
      </c>
      <c r="H272" s="12">
        <f>IF(OR($B272="",$G272=""),"",$G272*(N($D272)-N($F272)))</f>
        <v/>
      </c>
      <c r="I272" s="12">
        <f>IF($H272="","",$H272*'設定'!$C$4)</f>
        <v/>
      </c>
      <c r="J272" s="13">
        <f>IF(N($C272)=0,"",N($D272)/$C272)</f>
        <v/>
      </c>
      <c r="K272" s="13">
        <f>IF(N($D272)=0,"",N($E272)/$D272)</f>
        <v/>
      </c>
    </row>
    <row r="273">
      <c r="A273" s="8" t="n"/>
      <c r="B273" s="7" t="n"/>
      <c r="C273" s="10" t="n"/>
      <c r="D273" s="11" t="n"/>
      <c r="E273" s="11" t="n"/>
      <c r="F273" s="11" t="n"/>
      <c r="G273" s="12">
        <f>IF($B273="","",IFERROR(INDEX('商品'!$C$4:$C$18,MATCH($B273,'商品'!$A$4:$A$18,0)),""))</f>
        <v/>
      </c>
      <c r="H273" s="12">
        <f>IF(OR($B273="",$G273=""),"",$G273*(N($D273)-N($F273)))</f>
        <v/>
      </c>
      <c r="I273" s="12">
        <f>IF($H273="","",$H273*'設定'!$C$4)</f>
        <v/>
      </c>
      <c r="J273" s="13">
        <f>IF(N($C273)=0,"",N($D273)/$C273)</f>
        <v/>
      </c>
      <c r="K273" s="13">
        <f>IF(N($D273)=0,"",N($E273)/$D273)</f>
        <v/>
      </c>
    </row>
    <row r="274">
      <c r="A274" s="8" t="n"/>
      <c r="B274" s="7" t="n"/>
      <c r="C274" s="10" t="n"/>
      <c r="D274" s="11" t="n"/>
      <c r="E274" s="11" t="n"/>
      <c r="F274" s="11" t="n"/>
      <c r="G274" s="12">
        <f>IF($B274="","",IFERROR(INDEX('商品'!$C$4:$C$18,MATCH($B274,'商品'!$A$4:$A$18,0)),""))</f>
        <v/>
      </c>
      <c r="H274" s="12">
        <f>IF(OR($B274="",$G274=""),"",$G274*(N($D274)-N($F274)))</f>
        <v/>
      </c>
      <c r="I274" s="12">
        <f>IF($H274="","",$H274*'設定'!$C$4)</f>
        <v/>
      </c>
      <c r="J274" s="13">
        <f>IF(N($C274)=0,"",N($D274)/$C274)</f>
        <v/>
      </c>
      <c r="K274" s="13">
        <f>IF(N($D274)=0,"",N($E274)/$D274)</f>
        <v/>
      </c>
    </row>
    <row r="275">
      <c r="A275" s="8" t="n"/>
      <c r="B275" s="7" t="n"/>
      <c r="C275" s="10" t="n"/>
      <c r="D275" s="11" t="n"/>
      <c r="E275" s="11" t="n"/>
      <c r="F275" s="11" t="n"/>
      <c r="G275" s="12">
        <f>IF($B275="","",IFERROR(INDEX('商品'!$C$4:$C$18,MATCH($B275,'商品'!$A$4:$A$18,0)),""))</f>
        <v/>
      </c>
      <c r="H275" s="12">
        <f>IF(OR($B275="",$G275=""),"",$G275*(N($D275)-N($F275)))</f>
        <v/>
      </c>
      <c r="I275" s="12">
        <f>IF($H275="","",$H275*'設定'!$C$4)</f>
        <v/>
      </c>
      <c r="J275" s="13">
        <f>IF(N($C275)=0,"",N($D275)/$C275)</f>
        <v/>
      </c>
      <c r="K275" s="13">
        <f>IF(N($D275)=0,"",N($E275)/$D275)</f>
        <v/>
      </c>
    </row>
    <row r="276">
      <c r="A276" s="8" t="n"/>
      <c r="B276" s="7" t="n"/>
      <c r="C276" s="10" t="n"/>
      <c r="D276" s="11" t="n"/>
      <c r="E276" s="11" t="n"/>
      <c r="F276" s="11" t="n"/>
      <c r="G276" s="12">
        <f>IF($B276="","",IFERROR(INDEX('商品'!$C$4:$C$18,MATCH($B276,'商品'!$A$4:$A$18,0)),""))</f>
        <v/>
      </c>
      <c r="H276" s="12">
        <f>IF(OR($B276="",$G276=""),"",$G276*(N($D276)-N($F276)))</f>
        <v/>
      </c>
      <c r="I276" s="12">
        <f>IF($H276="","",$H276*'設定'!$C$4)</f>
        <v/>
      </c>
      <c r="J276" s="13">
        <f>IF(N($C276)=0,"",N($D276)/$C276)</f>
        <v/>
      </c>
      <c r="K276" s="13">
        <f>IF(N($D276)=0,"",N($E276)/$D276)</f>
        <v/>
      </c>
    </row>
    <row r="277">
      <c r="A277" s="8" t="n"/>
      <c r="B277" s="7" t="n"/>
      <c r="C277" s="10" t="n"/>
      <c r="D277" s="11" t="n"/>
      <c r="E277" s="11" t="n"/>
      <c r="F277" s="11" t="n"/>
      <c r="G277" s="12">
        <f>IF($B277="","",IFERROR(INDEX('商品'!$C$4:$C$18,MATCH($B277,'商品'!$A$4:$A$18,0)),""))</f>
        <v/>
      </c>
      <c r="H277" s="12">
        <f>IF(OR($B277="",$G277=""),"",$G277*(N($D277)-N($F277)))</f>
        <v/>
      </c>
      <c r="I277" s="12">
        <f>IF($H277="","",$H277*'設定'!$C$4)</f>
        <v/>
      </c>
      <c r="J277" s="13">
        <f>IF(N($C277)=0,"",N($D277)/$C277)</f>
        <v/>
      </c>
      <c r="K277" s="13">
        <f>IF(N($D277)=0,"",N($E277)/$D277)</f>
        <v/>
      </c>
    </row>
    <row r="278">
      <c r="A278" s="8" t="n"/>
      <c r="B278" s="7" t="n"/>
      <c r="C278" s="10" t="n"/>
      <c r="D278" s="11" t="n"/>
      <c r="E278" s="11" t="n"/>
      <c r="F278" s="11" t="n"/>
      <c r="G278" s="12">
        <f>IF($B278="","",IFERROR(INDEX('商品'!$C$4:$C$18,MATCH($B278,'商品'!$A$4:$A$18,0)),""))</f>
        <v/>
      </c>
      <c r="H278" s="12">
        <f>IF(OR($B278="",$G278=""),"",$G278*(N($D278)-N($F278)))</f>
        <v/>
      </c>
      <c r="I278" s="12">
        <f>IF($H278="","",$H278*'設定'!$C$4)</f>
        <v/>
      </c>
      <c r="J278" s="13">
        <f>IF(N($C278)=0,"",N($D278)/$C278)</f>
        <v/>
      </c>
      <c r="K278" s="13">
        <f>IF(N($D278)=0,"",N($E278)/$D278)</f>
        <v/>
      </c>
    </row>
    <row r="279">
      <c r="A279" s="8" t="n"/>
      <c r="B279" s="7" t="n"/>
      <c r="C279" s="10" t="n"/>
      <c r="D279" s="11" t="n"/>
      <c r="E279" s="11" t="n"/>
      <c r="F279" s="11" t="n"/>
      <c r="G279" s="12">
        <f>IF($B279="","",IFERROR(INDEX('商品'!$C$4:$C$18,MATCH($B279,'商品'!$A$4:$A$18,0)),""))</f>
        <v/>
      </c>
      <c r="H279" s="12">
        <f>IF(OR($B279="",$G279=""),"",$G279*(N($D279)-N($F279)))</f>
        <v/>
      </c>
      <c r="I279" s="12">
        <f>IF($H279="","",$H279*'設定'!$C$4)</f>
        <v/>
      </c>
      <c r="J279" s="13">
        <f>IF(N($C279)=0,"",N($D279)/$C279)</f>
        <v/>
      </c>
      <c r="K279" s="13">
        <f>IF(N($D279)=0,"",N($E279)/$D279)</f>
        <v/>
      </c>
    </row>
    <row r="280">
      <c r="A280" s="8" t="n"/>
      <c r="B280" s="7" t="n"/>
      <c r="C280" s="10" t="n"/>
      <c r="D280" s="11" t="n"/>
      <c r="E280" s="11" t="n"/>
      <c r="F280" s="11" t="n"/>
      <c r="G280" s="12">
        <f>IF($B280="","",IFERROR(INDEX('商品'!$C$4:$C$18,MATCH($B280,'商品'!$A$4:$A$18,0)),""))</f>
        <v/>
      </c>
      <c r="H280" s="12">
        <f>IF(OR($B280="",$G280=""),"",$G280*(N($D280)-N($F280)))</f>
        <v/>
      </c>
      <c r="I280" s="12">
        <f>IF($H280="","",$H280*'設定'!$C$4)</f>
        <v/>
      </c>
      <c r="J280" s="13">
        <f>IF(N($C280)=0,"",N($D280)/$C280)</f>
        <v/>
      </c>
      <c r="K280" s="13">
        <f>IF(N($D280)=0,"",N($E280)/$D280)</f>
        <v/>
      </c>
    </row>
    <row r="281">
      <c r="A281" s="8" t="n"/>
      <c r="B281" s="7" t="n"/>
      <c r="C281" s="10" t="n"/>
      <c r="D281" s="11" t="n"/>
      <c r="E281" s="11" t="n"/>
      <c r="F281" s="11" t="n"/>
      <c r="G281" s="12">
        <f>IF($B281="","",IFERROR(INDEX('商品'!$C$4:$C$18,MATCH($B281,'商品'!$A$4:$A$18,0)),""))</f>
        <v/>
      </c>
      <c r="H281" s="12">
        <f>IF(OR($B281="",$G281=""),"",$G281*(N($D281)-N($F281)))</f>
        <v/>
      </c>
      <c r="I281" s="12">
        <f>IF($H281="","",$H281*'設定'!$C$4)</f>
        <v/>
      </c>
      <c r="J281" s="13">
        <f>IF(N($C281)=0,"",N($D281)/$C281)</f>
        <v/>
      </c>
      <c r="K281" s="13">
        <f>IF(N($D281)=0,"",N($E281)/$D281)</f>
        <v/>
      </c>
    </row>
    <row r="282">
      <c r="A282" s="8" t="n"/>
      <c r="B282" s="7" t="n"/>
      <c r="C282" s="10" t="n"/>
      <c r="D282" s="11" t="n"/>
      <c r="E282" s="11" t="n"/>
      <c r="F282" s="11" t="n"/>
      <c r="G282" s="12">
        <f>IF($B282="","",IFERROR(INDEX('商品'!$C$4:$C$18,MATCH($B282,'商品'!$A$4:$A$18,0)),""))</f>
        <v/>
      </c>
      <c r="H282" s="12">
        <f>IF(OR($B282="",$G282=""),"",$G282*(N($D282)-N($F282)))</f>
        <v/>
      </c>
      <c r="I282" s="12">
        <f>IF($H282="","",$H282*'設定'!$C$4)</f>
        <v/>
      </c>
      <c r="J282" s="13">
        <f>IF(N($C282)=0,"",N($D282)/$C282)</f>
        <v/>
      </c>
      <c r="K282" s="13">
        <f>IF(N($D282)=0,"",N($E282)/$D282)</f>
        <v/>
      </c>
    </row>
    <row r="283">
      <c r="A283" s="8" t="n"/>
      <c r="B283" s="7" t="n"/>
      <c r="C283" s="10" t="n"/>
      <c r="D283" s="11" t="n"/>
      <c r="E283" s="11" t="n"/>
      <c r="F283" s="11" t="n"/>
      <c r="G283" s="12">
        <f>IF($B283="","",IFERROR(INDEX('商品'!$C$4:$C$18,MATCH($B283,'商品'!$A$4:$A$18,0)),""))</f>
        <v/>
      </c>
      <c r="H283" s="12">
        <f>IF(OR($B283="",$G283=""),"",$G283*(N($D283)-N($F283)))</f>
        <v/>
      </c>
      <c r="I283" s="12">
        <f>IF($H283="","",$H283*'設定'!$C$4)</f>
        <v/>
      </c>
      <c r="J283" s="13">
        <f>IF(N($C283)=0,"",N($D283)/$C283)</f>
        <v/>
      </c>
      <c r="K283" s="13">
        <f>IF(N($D283)=0,"",N($E283)/$D283)</f>
        <v/>
      </c>
    </row>
    <row r="284">
      <c r="A284" s="8" t="n"/>
      <c r="B284" s="7" t="n"/>
      <c r="C284" s="10" t="n"/>
      <c r="D284" s="11" t="n"/>
      <c r="E284" s="11" t="n"/>
      <c r="F284" s="11" t="n"/>
      <c r="G284" s="12">
        <f>IF($B284="","",IFERROR(INDEX('商品'!$C$4:$C$18,MATCH($B284,'商品'!$A$4:$A$18,0)),""))</f>
        <v/>
      </c>
      <c r="H284" s="12">
        <f>IF(OR($B284="",$G284=""),"",$G284*(N($D284)-N($F284)))</f>
        <v/>
      </c>
      <c r="I284" s="12">
        <f>IF($H284="","",$H284*'設定'!$C$4)</f>
        <v/>
      </c>
      <c r="J284" s="13">
        <f>IF(N($C284)=0,"",N($D284)/$C284)</f>
        <v/>
      </c>
      <c r="K284" s="13">
        <f>IF(N($D284)=0,"",N($E284)/$D284)</f>
        <v/>
      </c>
    </row>
    <row r="285">
      <c r="A285" s="8" t="n"/>
      <c r="B285" s="7" t="n"/>
      <c r="C285" s="10" t="n"/>
      <c r="D285" s="11" t="n"/>
      <c r="E285" s="11" t="n"/>
      <c r="F285" s="11" t="n"/>
      <c r="G285" s="12">
        <f>IF($B285="","",IFERROR(INDEX('商品'!$C$4:$C$18,MATCH($B285,'商品'!$A$4:$A$18,0)),""))</f>
        <v/>
      </c>
      <c r="H285" s="12">
        <f>IF(OR($B285="",$G285=""),"",$G285*(N($D285)-N($F285)))</f>
        <v/>
      </c>
      <c r="I285" s="12">
        <f>IF($H285="","",$H285*'設定'!$C$4)</f>
        <v/>
      </c>
      <c r="J285" s="13">
        <f>IF(N($C285)=0,"",N($D285)/$C285)</f>
        <v/>
      </c>
      <c r="K285" s="13">
        <f>IF(N($D285)=0,"",N($E285)/$D285)</f>
        <v/>
      </c>
    </row>
    <row r="286">
      <c r="A286" s="8" t="n"/>
      <c r="B286" s="7" t="n"/>
      <c r="C286" s="10" t="n"/>
      <c r="D286" s="11" t="n"/>
      <c r="E286" s="11" t="n"/>
      <c r="F286" s="11" t="n"/>
      <c r="G286" s="12">
        <f>IF($B286="","",IFERROR(INDEX('商品'!$C$4:$C$18,MATCH($B286,'商品'!$A$4:$A$18,0)),""))</f>
        <v/>
      </c>
      <c r="H286" s="12">
        <f>IF(OR($B286="",$G286=""),"",$G286*(N($D286)-N($F286)))</f>
        <v/>
      </c>
      <c r="I286" s="12">
        <f>IF($H286="","",$H286*'設定'!$C$4)</f>
        <v/>
      </c>
      <c r="J286" s="13">
        <f>IF(N($C286)=0,"",N($D286)/$C286)</f>
        <v/>
      </c>
      <c r="K286" s="13">
        <f>IF(N($D286)=0,"",N($E286)/$D286)</f>
        <v/>
      </c>
    </row>
    <row r="287">
      <c r="A287" s="8" t="n"/>
      <c r="B287" s="7" t="n"/>
      <c r="C287" s="10" t="n"/>
      <c r="D287" s="11" t="n"/>
      <c r="E287" s="11" t="n"/>
      <c r="F287" s="11" t="n"/>
      <c r="G287" s="12">
        <f>IF($B287="","",IFERROR(INDEX('商品'!$C$4:$C$18,MATCH($B287,'商品'!$A$4:$A$18,0)),""))</f>
        <v/>
      </c>
      <c r="H287" s="12">
        <f>IF(OR($B287="",$G287=""),"",$G287*(N($D287)-N($F287)))</f>
        <v/>
      </c>
      <c r="I287" s="12">
        <f>IF($H287="","",$H287*'設定'!$C$4)</f>
        <v/>
      </c>
      <c r="J287" s="13">
        <f>IF(N($C287)=0,"",N($D287)/$C287)</f>
        <v/>
      </c>
      <c r="K287" s="13">
        <f>IF(N($D287)=0,"",N($E287)/$D287)</f>
        <v/>
      </c>
    </row>
    <row r="288">
      <c r="A288" s="8" t="n"/>
      <c r="B288" s="7" t="n"/>
      <c r="C288" s="10" t="n"/>
      <c r="D288" s="11" t="n"/>
      <c r="E288" s="11" t="n"/>
      <c r="F288" s="11" t="n"/>
      <c r="G288" s="12">
        <f>IF($B288="","",IFERROR(INDEX('商品'!$C$4:$C$18,MATCH($B288,'商品'!$A$4:$A$18,0)),""))</f>
        <v/>
      </c>
      <c r="H288" s="12">
        <f>IF(OR($B288="",$G288=""),"",$G288*(N($D288)-N($F288)))</f>
        <v/>
      </c>
      <c r="I288" s="12">
        <f>IF($H288="","",$H288*'設定'!$C$4)</f>
        <v/>
      </c>
      <c r="J288" s="13">
        <f>IF(N($C288)=0,"",N($D288)/$C288)</f>
        <v/>
      </c>
      <c r="K288" s="13">
        <f>IF(N($D288)=0,"",N($E288)/$D288)</f>
        <v/>
      </c>
    </row>
    <row r="289">
      <c r="A289" s="8" t="n"/>
      <c r="B289" s="7" t="n"/>
      <c r="C289" s="10" t="n"/>
      <c r="D289" s="11" t="n"/>
      <c r="E289" s="11" t="n"/>
      <c r="F289" s="11" t="n"/>
      <c r="G289" s="12">
        <f>IF($B289="","",IFERROR(INDEX('商品'!$C$4:$C$18,MATCH($B289,'商品'!$A$4:$A$18,0)),""))</f>
        <v/>
      </c>
      <c r="H289" s="12">
        <f>IF(OR($B289="",$G289=""),"",$G289*(N($D289)-N($F289)))</f>
        <v/>
      </c>
      <c r="I289" s="12">
        <f>IF($H289="","",$H289*'設定'!$C$4)</f>
        <v/>
      </c>
      <c r="J289" s="13">
        <f>IF(N($C289)=0,"",N($D289)/$C289)</f>
        <v/>
      </c>
      <c r="K289" s="13">
        <f>IF(N($D289)=0,"",N($E289)/$D289)</f>
        <v/>
      </c>
    </row>
    <row r="290">
      <c r="A290" s="8" t="n"/>
      <c r="B290" s="7" t="n"/>
      <c r="C290" s="10" t="n"/>
      <c r="D290" s="11" t="n"/>
      <c r="E290" s="11" t="n"/>
      <c r="F290" s="11" t="n"/>
      <c r="G290" s="12">
        <f>IF($B290="","",IFERROR(INDEX('商品'!$C$4:$C$18,MATCH($B290,'商品'!$A$4:$A$18,0)),""))</f>
        <v/>
      </c>
      <c r="H290" s="12">
        <f>IF(OR($B290="",$G290=""),"",$G290*(N($D290)-N($F290)))</f>
        <v/>
      </c>
      <c r="I290" s="12">
        <f>IF($H290="","",$H290*'設定'!$C$4)</f>
        <v/>
      </c>
      <c r="J290" s="13">
        <f>IF(N($C290)=0,"",N($D290)/$C290)</f>
        <v/>
      </c>
      <c r="K290" s="13">
        <f>IF(N($D290)=0,"",N($E290)/$D290)</f>
        <v/>
      </c>
    </row>
    <row r="291">
      <c r="A291" s="8" t="n"/>
      <c r="B291" s="7" t="n"/>
      <c r="C291" s="10" t="n"/>
      <c r="D291" s="11" t="n"/>
      <c r="E291" s="11" t="n"/>
      <c r="F291" s="11" t="n"/>
      <c r="G291" s="12">
        <f>IF($B291="","",IFERROR(INDEX('商品'!$C$4:$C$18,MATCH($B291,'商品'!$A$4:$A$18,0)),""))</f>
        <v/>
      </c>
      <c r="H291" s="12">
        <f>IF(OR($B291="",$G291=""),"",$G291*(N($D291)-N($F291)))</f>
        <v/>
      </c>
      <c r="I291" s="12">
        <f>IF($H291="","",$H291*'設定'!$C$4)</f>
        <v/>
      </c>
      <c r="J291" s="13">
        <f>IF(N($C291)=0,"",N($D291)/$C291)</f>
        <v/>
      </c>
      <c r="K291" s="13">
        <f>IF(N($D291)=0,"",N($E291)/$D291)</f>
        <v/>
      </c>
    </row>
    <row r="292">
      <c r="A292" s="8" t="n"/>
      <c r="B292" s="7" t="n"/>
      <c r="C292" s="10" t="n"/>
      <c r="D292" s="11" t="n"/>
      <c r="E292" s="11" t="n"/>
      <c r="F292" s="11" t="n"/>
      <c r="G292" s="12">
        <f>IF($B292="","",IFERROR(INDEX('商品'!$C$4:$C$18,MATCH($B292,'商品'!$A$4:$A$18,0)),""))</f>
        <v/>
      </c>
      <c r="H292" s="12">
        <f>IF(OR($B292="",$G292=""),"",$G292*(N($D292)-N($F292)))</f>
        <v/>
      </c>
      <c r="I292" s="12">
        <f>IF($H292="","",$H292*'設定'!$C$4)</f>
        <v/>
      </c>
      <c r="J292" s="13">
        <f>IF(N($C292)=0,"",N($D292)/$C292)</f>
        <v/>
      </c>
      <c r="K292" s="13">
        <f>IF(N($D292)=0,"",N($E292)/$D292)</f>
        <v/>
      </c>
    </row>
    <row r="293">
      <c r="A293" s="8" t="n"/>
      <c r="B293" s="7" t="n"/>
      <c r="C293" s="10" t="n"/>
      <c r="D293" s="11" t="n"/>
      <c r="E293" s="11" t="n"/>
      <c r="F293" s="11" t="n"/>
      <c r="G293" s="12">
        <f>IF($B293="","",IFERROR(INDEX('商品'!$C$4:$C$18,MATCH($B293,'商品'!$A$4:$A$18,0)),""))</f>
        <v/>
      </c>
      <c r="H293" s="12">
        <f>IF(OR($B293="",$G293=""),"",$G293*(N($D293)-N($F293)))</f>
        <v/>
      </c>
      <c r="I293" s="12">
        <f>IF($H293="","",$H293*'設定'!$C$4)</f>
        <v/>
      </c>
      <c r="J293" s="13">
        <f>IF(N($C293)=0,"",N($D293)/$C293)</f>
        <v/>
      </c>
      <c r="K293" s="13">
        <f>IF(N($D293)=0,"",N($E293)/$D293)</f>
        <v/>
      </c>
    </row>
    <row r="294">
      <c r="A294" s="8" t="n"/>
      <c r="B294" s="7" t="n"/>
      <c r="C294" s="10" t="n"/>
      <c r="D294" s="11" t="n"/>
      <c r="E294" s="11" t="n"/>
      <c r="F294" s="11" t="n"/>
      <c r="G294" s="12">
        <f>IF($B294="","",IFERROR(INDEX('商品'!$C$4:$C$18,MATCH($B294,'商品'!$A$4:$A$18,0)),""))</f>
        <v/>
      </c>
      <c r="H294" s="12">
        <f>IF(OR($B294="",$G294=""),"",$G294*(N($D294)-N($F294)))</f>
        <v/>
      </c>
      <c r="I294" s="12">
        <f>IF($H294="","",$H294*'設定'!$C$4)</f>
        <v/>
      </c>
      <c r="J294" s="13">
        <f>IF(N($C294)=0,"",N($D294)/$C294)</f>
        <v/>
      </c>
      <c r="K294" s="13">
        <f>IF(N($D294)=0,"",N($E294)/$D294)</f>
        <v/>
      </c>
    </row>
    <row r="295">
      <c r="A295" s="8" t="n"/>
      <c r="B295" s="7" t="n"/>
      <c r="C295" s="10" t="n"/>
      <c r="D295" s="11" t="n"/>
      <c r="E295" s="11" t="n"/>
      <c r="F295" s="11" t="n"/>
      <c r="G295" s="12">
        <f>IF($B295="","",IFERROR(INDEX('商品'!$C$4:$C$18,MATCH($B295,'商品'!$A$4:$A$18,0)),""))</f>
        <v/>
      </c>
      <c r="H295" s="12">
        <f>IF(OR($B295="",$G295=""),"",$G295*(N($D295)-N($F295)))</f>
        <v/>
      </c>
      <c r="I295" s="12">
        <f>IF($H295="","",$H295*'設定'!$C$4)</f>
        <v/>
      </c>
      <c r="J295" s="13">
        <f>IF(N($C295)=0,"",N($D295)/$C295)</f>
        <v/>
      </c>
      <c r="K295" s="13">
        <f>IF(N($D295)=0,"",N($E295)/$D295)</f>
        <v/>
      </c>
    </row>
    <row r="296">
      <c r="A296" s="8" t="n"/>
      <c r="B296" s="7" t="n"/>
      <c r="C296" s="10" t="n"/>
      <c r="D296" s="11" t="n"/>
      <c r="E296" s="11" t="n"/>
      <c r="F296" s="11" t="n"/>
      <c r="G296" s="12">
        <f>IF($B296="","",IFERROR(INDEX('商品'!$C$4:$C$18,MATCH($B296,'商品'!$A$4:$A$18,0)),""))</f>
        <v/>
      </c>
      <c r="H296" s="12">
        <f>IF(OR($B296="",$G296=""),"",$G296*(N($D296)-N($F296)))</f>
        <v/>
      </c>
      <c r="I296" s="12">
        <f>IF($H296="","",$H296*'設定'!$C$4)</f>
        <v/>
      </c>
      <c r="J296" s="13">
        <f>IF(N($C296)=0,"",N($D296)/$C296)</f>
        <v/>
      </c>
      <c r="K296" s="13">
        <f>IF(N($D296)=0,"",N($E296)/$D296)</f>
        <v/>
      </c>
    </row>
    <row r="297">
      <c r="A297" s="8" t="n"/>
      <c r="B297" s="7" t="n"/>
      <c r="C297" s="10" t="n"/>
      <c r="D297" s="11" t="n"/>
      <c r="E297" s="11" t="n"/>
      <c r="F297" s="11" t="n"/>
      <c r="G297" s="12">
        <f>IF($B297="","",IFERROR(INDEX('商品'!$C$4:$C$18,MATCH($B297,'商品'!$A$4:$A$18,0)),""))</f>
        <v/>
      </c>
      <c r="H297" s="12">
        <f>IF(OR($B297="",$G297=""),"",$G297*(N($D297)-N($F297)))</f>
        <v/>
      </c>
      <c r="I297" s="12">
        <f>IF($H297="","",$H297*'設定'!$C$4)</f>
        <v/>
      </c>
      <c r="J297" s="13">
        <f>IF(N($C297)=0,"",N($D297)/$C297)</f>
        <v/>
      </c>
      <c r="K297" s="13">
        <f>IF(N($D297)=0,"",N($E297)/$D297)</f>
        <v/>
      </c>
    </row>
    <row r="298">
      <c r="A298" s="8" t="n"/>
      <c r="B298" s="7" t="n"/>
      <c r="C298" s="10" t="n"/>
      <c r="D298" s="11" t="n"/>
      <c r="E298" s="11" t="n"/>
      <c r="F298" s="11" t="n"/>
      <c r="G298" s="12">
        <f>IF($B298="","",IFERROR(INDEX('商品'!$C$4:$C$18,MATCH($B298,'商品'!$A$4:$A$18,0)),""))</f>
        <v/>
      </c>
      <c r="H298" s="12">
        <f>IF(OR($B298="",$G298=""),"",$G298*(N($D298)-N($F298)))</f>
        <v/>
      </c>
      <c r="I298" s="12">
        <f>IF($H298="","",$H298*'設定'!$C$4)</f>
        <v/>
      </c>
      <c r="J298" s="13">
        <f>IF(N($C298)=0,"",N($D298)/$C298)</f>
        <v/>
      </c>
      <c r="K298" s="13">
        <f>IF(N($D298)=0,"",N($E298)/$D298)</f>
        <v/>
      </c>
    </row>
    <row r="299">
      <c r="A299" s="8" t="n"/>
      <c r="B299" s="7" t="n"/>
      <c r="C299" s="10" t="n"/>
      <c r="D299" s="11" t="n"/>
      <c r="E299" s="11" t="n"/>
      <c r="F299" s="11" t="n"/>
      <c r="G299" s="12">
        <f>IF($B299="","",IFERROR(INDEX('商品'!$C$4:$C$18,MATCH($B299,'商品'!$A$4:$A$18,0)),""))</f>
        <v/>
      </c>
      <c r="H299" s="12">
        <f>IF(OR($B299="",$G299=""),"",$G299*(N($D299)-N($F299)))</f>
        <v/>
      </c>
      <c r="I299" s="12">
        <f>IF($H299="","",$H299*'設定'!$C$4)</f>
        <v/>
      </c>
      <c r="J299" s="13">
        <f>IF(N($C299)=0,"",N($D299)/$C299)</f>
        <v/>
      </c>
      <c r="K299" s="13">
        <f>IF(N($D299)=0,"",N($E299)/$D299)</f>
        <v/>
      </c>
    </row>
    <row r="300">
      <c r="A300" s="8" t="n"/>
      <c r="B300" s="7" t="n"/>
      <c r="C300" s="10" t="n"/>
      <c r="D300" s="11" t="n"/>
      <c r="E300" s="11" t="n"/>
      <c r="F300" s="11" t="n"/>
      <c r="G300" s="12">
        <f>IF($B300="","",IFERROR(INDEX('商品'!$C$4:$C$18,MATCH($B300,'商品'!$A$4:$A$18,0)),""))</f>
        <v/>
      </c>
      <c r="H300" s="12">
        <f>IF(OR($B300="",$G300=""),"",$G300*(N($D300)-N($F300)))</f>
        <v/>
      </c>
      <c r="I300" s="12">
        <f>IF($H300="","",$H300*'設定'!$C$4)</f>
        <v/>
      </c>
      <c r="J300" s="13">
        <f>IF(N($C300)=0,"",N($D300)/$C300)</f>
        <v/>
      </c>
      <c r="K300" s="13">
        <f>IF(N($D300)=0,"",N($E300)/$D300)</f>
        <v/>
      </c>
    </row>
    <row r="301">
      <c r="A301" s="8" t="n"/>
      <c r="B301" s="7" t="n"/>
      <c r="C301" s="10" t="n"/>
      <c r="D301" s="11" t="n"/>
      <c r="E301" s="11" t="n"/>
      <c r="F301" s="11" t="n"/>
      <c r="G301" s="12">
        <f>IF($B301="","",IFERROR(INDEX('商品'!$C$4:$C$18,MATCH($B301,'商品'!$A$4:$A$18,0)),""))</f>
        <v/>
      </c>
      <c r="H301" s="12">
        <f>IF(OR($B301="",$G301=""),"",$G301*(N($D301)-N($F301)))</f>
        <v/>
      </c>
      <c r="I301" s="12">
        <f>IF($H301="","",$H301*'設定'!$C$4)</f>
        <v/>
      </c>
      <c r="J301" s="13">
        <f>IF(N($C301)=0,"",N($D301)/$C301)</f>
        <v/>
      </c>
      <c r="K301" s="13">
        <f>IF(N($D301)=0,"",N($E301)/$D301)</f>
        <v/>
      </c>
    </row>
    <row r="302">
      <c r="A302" s="8" t="n"/>
      <c r="B302" s="7" t="n"/>
      <c r="C302" s="10" t="n"/>
      <c r="D302" s="11" t="n"/>
      <c r="E302" s="11" t="n"/>
      <c r="F302" s="11" t="n"/>
      <c r="G302" s="12">
        <f>IF($B302="","",IFERROR(INDEX('商品'!$C$4:$C$18,MATCH($B302,'商品'!$A$4:$A$18,0)),""))</f>
        <v/>
      </c>
      <c r="H302" s="12">
        <f>IF(OR($B302="",$G302=""),"",$G302*(N($D302)-N($F302)))</f>
        <v/>
      </c>
      <c r="I302" s="12">
        <f>IF($H302="","",$H302*'設定'!$C$4)</f>
        <v/>
      </c>
      <c r="J302" s="13">
        <f>IF(N($C302)=0,"",N($D302)/$C302)</f>
        <v/>
      </c>
      <c r="K302" s="13">
        <f>IF(N($D302)=0,"",N($E302)/$D302)</f>
        <v/>
      </c>
    </row>
    <row r="303">
      <c r="A303" s="8" t="n"/>
      <c r="B303" s="7" t="n"/>
      <c r="C303" s="10" t="n"/>
      <c r="D303" s="11" t="n"/>
      <c r="E303" s="11" t="n"/>
      <c r="F303" s="11" t="n"/>
      <c r="G303" s="12">
        <f>IF($B303="","",IFERROR(INDEX('商品'!$C$4:$C$18,MATCH($B303,'商品'!$A$4:$A$18,0)),""))</f>
        <v/>
      </c>
      <c r="H303" s="12">
        <f>IF(OR($B303="",$G303=""),"",$G303*(N($D303)-N($F303)))</f>
        <v/>
      </c>
      <c r="I303" s="12">
        <f>IF($H303="","",$H303*'設定'!$C$4)</f>
        <v/>
      </c>
      <c r="J303" s="13">
        <f>IF(N($C303)=0,"",N($D303)/$C303)</f>
        <v/>
      </c>
      <c r="K303" s="13">
        <f>IF(N($D303)=0,"",N($E303)/$D303)</f>
        <v/>
      </c>
    </row>
    <row r="304">
      <c r="A304" s="8" t="n"/>
      <c r="B304" s="7" t="n"/>
      <c r="C304" s="10" t="n"/>
      <c r="D304" s="11" t="n"/>
      <c r="E304" s="11" t="n"/>
      <c r="F304" s="11" t="n"/>
      <c r="G304" s="12">
        <f>IF($B304="","",IFERROR(INDEX('商品'!$C$4:$C$18,MATCH($B304,'商品'!$A$4:$A$18,0)),""))</f>
        <v/>
      </c>
      <c r="H304" s="12">
        <f>IF(OR($B304="",$G304=""),"",$G304*(N($D304)-N($F304)))</f>
        <v/>
      </c>
      <c r="I304" s="12">
        <f>IF($H304="","",$H304*'設定'!$C$4)</f>
        <v/>
      </c>
      <c r="J304" s="13">
        <f>IF(N($C304)=0,"",N($D304)/$C304)</f>
        <v/>
      </c>
      <c r="K304" s="13">
        <f>IF(N($D304)=0,"",N($E304)/$D304)</f>
        <v/>
      </c>
    </row>
    <row r="305">
      <c r="A305" s="8" t="n"/>
      <c r="B305" s="7" t="n"/>
      <c r="C305" s="10" t="n"/>
      <c r="D305" s="11" t="n"/>
      <c r="E305" s="11" t="n"/>
      <c r="F305" s="11" t="n"/>
      <c r="G305" s="12">
        <f>IF($B305="","",IFERROR(INDEX('商品'!$C$4:$C$18,MATCH($B305,'商品'!$A$4:$A$18,0)),""))</f>
        <v/>
      </c>
      <c r="H305" s="12">
        <f>IF(OR($B305="",$G305=""),"",$G305*(N($D305)-N($F305)))</f>
        <v/>
      </c>
      <c r="I305" s="12">
        <f>IF($H305="","",$H305*'設定'!$C$4)</f>
        <v/>
      </c>
      <c r="J305" s="13">
        <f>IF(N($C305)=0,"",N($D305)/$C305)</f>
        <v/>
      </c>
      <c r="K305" s="13">
        <f>IF(N($D305)=0,"",N($E305)/$D305)</f>
        <v/>
      </c>
    </row>
    <row r="306">
      <c r="A306" s="8" t="n"/>
      <c r="B306" s="7" t="n"/>
      <c r="C306" s="10" t="n"/>
      <c r="D306" s="11" t="n"/>
      <c r="E306" s="11" t="n"/>
      <c r="F306" s="11" t="n"/>
      <c r="G306" s="12">
        <f>IF($B306="","",IFERROR(INDEX('商品'!$C$4:$C$18,MATCH($B306,'商品'!$A$4:$A$18,0)),""))</f>
        <v/>
      </c>
      <c r="H306" s="12">
        <f>IF(OR($B306="",$G306=""),"",$G306*(N($D306)-N($F306)))</f>
        <v/>
      </c>
      <c r="I306" s="12">
        <f>IF($H306="","",$H306*'設定'!$C$4)</f>
        <v/>
      </c>
      <c r="J306" s="13">
        <f>IF(N($C306)=0,"",N($D306)/$C306)</f>
        <v/>
      </c>
      <c r="K306" s="13">
        <f>IF(N($D306)=0,"",N($E306)/$D306)</f>
        <v/>
      </c>
    </row>
    <row r="307">
      <c r="A307" s="8" t="n"/>
      <c r="B307" s="7" t="n"/>
      <c r="C307" s="10" t="n"/>
      <c r="D307" s="11" t="n"/>
      <c r="E307" s="11" t="n"/>
      <c r="F307" s="11" t="n"/>
      <c r="G307" s="12">
        <f>IF($B307="","",IFERROR(INDEX('商品'!$C$4:$C$18,MATCH($B307,'商品'!$A$4:$A$18,0)),""))</f>
        <v/>
      </c>
      <c r="H307" s="12">
        <f>IF(OR($B307="",$G307=""),"",$G307*(N($D307)-N($F307)))</f>
        <v/>
      </c>
      <c r="I307" s="12">
        <f>IF($H307="","",$H307*'設定'!$C$4)</f>
        <v/>
      </c>
      <c r="J307" s="13">
        <f>IF(N($C307)=0,"",N($D307)/$C307)</f>
        <v/>
      </c>
      <c r="K307" s="13">
        <f>IF(N($D307)=0,"",N($E307)/$D307)</f>
        <v/>
      </c>
    </row>
    <row r="308">
      <c r="A308" s="8" t="n"/>
      <c r="B308" s="7" t="n"/>
      <c r="C308" s="10" t="n"/>
      <c r="D308" s="11" t="n"/>
      <c r="E308" s="11" t="n"/>
      <c r="F308" s="11" t="n"/>
      <c r="G308" s="12">
        <f>IF($B308="","",IFERROR(INDEX('商品'!$C$4:$C$18,MATCH($B308,'商品'!$A$4:$A$18,0)),""))</f>
        <v/>
      </c>
      <c r="H308" s="12">
        <f>IF(OR($B308="",$G308=""),"",$G308*(N($D308)-N($F308)))</f>
        <v/>
      </c>
      <c r="I308" s="12">
        <f>IF($H308="","",$H308*'設定'!$C$4)</f>
        <v/>
      </c>
      <c r="J308" s="13">
        <f>IF(N($C308)=0,"",N($D308)/$C308)</f>
        <v/>
      </c>
      <c r="K308" s="13">
        <f>IF(N($D308)=0,"",N($E308)/$D308)</f>
        <v/>
      </c>
    </row>
    <row r="309">
      <c r="A309" s="8" t="n"/>
      <c r="B309" s="7" t="n"/>
      <c r="C309" s="10" t="n"/>
      <c r="D309" s="11" t="n"/>
      <c r="E309" s="11" t="n"/>
      <c r="F309" s="11" t="n"/>
      <c r="G309" s="12">
        <f>IF($B309="","",IFERROR(INDEX('商品'!$C$4:$C$18,MATCH($B309,'商品'!$A$4:$A$18,0)),""))</f>
        <v/>
      </c>
      <c r="H309" s="12">
        <f>IF(OR($B309="",$G309=""),"",$G309*(N($D309)-N($F309)))</f>
        <v/>
      </c>
      <c r="I309" s="12">
        <f>IF($H309="","",$H309*'設定'!$C$4)</f>
        <v/>
      </c>
      <c r="J309" s="13">
        <f>IF(N($C309)=0,"",N($D309)/$C309)</f>
        <v/>
      </c>
      <c r="K309" s="13">
        <f>IF(N($D309)=0,"",N($E309)/$D309)</f>
        <v/>
      </c>
    </row>
    <row r="310">
      <c r="A310" s="8" t="n"/>
      <c r="B310" s="7" t="n"/>
      <c r="C310" s="10" t="n"/>
      <c r="D310" s="11" t="n"/>
      <c r="E310" s="11" t="n"/>
      <c r="F310" s="11" t="n"/>
      <c r="G310" s="12">
        <f>IF($B310="","",IFERROR(INDEX('商品'!$C$4:$C$18,MATCH($B310,'商品'!$A$4:$A$18,0)),""))</f>
        <v/>
      </c>
      <c r="H310" s="12">
        <f>IF(OR($B310="",$G310=""),"",$G310*(N($D310)-N($F310)))</f>
        <v/>
      </c>
      <c r="I310" s="12">
        <f>IF($H310="","",$H310*'設定'!$C$4)</f>
        <v/>
      </c>
      <c r="J310" s="13">
        <f>IF(N($C310)=0,"",N($D310)/$C310)</f>
        <v/>
      </c>
      <c r="K310" s="13">
        <f>IF(N($D310)=0,"",N($E310)/$D310)</f>
        <v/>
      </c>
    </row>
    <row r="311">
      <c r="A311" s="8" t="n"/>
      <c r="B311" s="7" t="n"/>
      <c r="C311" s="10" t="n"/>
      <c r="D311" s="11" t="n"/>
      <c r="E311" s="11" t="n"/>
      <c r="F311" s="11" t="n"/>
      <c r="G311" s="12">
        <f>IF($B311="","",IFERROR(INDEX('商品'!$C$4:$C$18,MATCH($B311,'商品'!$A$4:$A$18,0)),""))</f>
        <v/>
      </c>
      <c r="H311" s="12">
        <f>IF(OR($B311="",$G311=""),"",$G311*(N($D311)-N($F311)))</f>
        <v/>
      </c>
      <c r="I311" s="12">
        <f>IF($H311="","",$H311*'設定'!$C$4)</f>
        <v/>
      </c>
      <c r="J311" s="13">
        <f>IF(N($C311)=0,"",N($D311)/$C311)</f>
        <v/>
      </c>
      <c r="K311" s="13">
        <f>IF(N($D311)=0,"",N($E311)/$D311)</f>
        <v/>
      </c>
    </row>
    <row r="312">
      <c r="A312" s="8" t="n"/>
      <c r="B312" s="7" t="n"/>
      <c r="C312" s="10" t="n"/>
      <c r="D312" s="11" t="n"/>
      <c r="E312" s="11" t="n"/>
      <c r="F312" s="11" t="n"/>
      <c r="G312" s="12">
        <f>IF($B312="","",IFERROR(INDEX('商品'!$C$4:$C$18,MATCH($B312,'商品'!$A$4:$A$18,0)),""))</f>
        <v/>
      </c>
      <c r="H312" s="12">
        <f>IF(OR($B312="",$G312=""),"",$G312*(N($D312)-N($F312)))</f>
        <v/>
      </c>
      <c r="I312" s="12">
        <f>IF($H312="","",$H312*'設定'!$C$4)</f>
        <v/>
      </c>
      <c r="J312" s="13">
        <f>IF(N($C312)=0,"",N($D312)/$C312)</f>
        <v/>
      </c>
      <c r="K312" s="13">
        <f>IF(N($D312)=0,"",N($E312)/$D312)</f>
        <v/>
      </c>
    </row>
    <row r="313">
      <c r="A313" s="8" t="n"/>
      <c r="B313" s="7" t="n"/>
      <c r="C313" s="10" t="n"/>
      <c r="D313" s="11" t="n"/>
      <c r="E313" s="11" t="n"/>
      <c r="F313" s="11" t="n"/>
      <c r="G313" s="12">
        <f>IF($B313="","",IFERROR(INDEX('商品'!$C$4:$C$18,MATCH($B313,'商品'!$A$4:$A$18,0)),""))</f>
        <v/>
      </c>
      <c r="H313" s="12">
        <f>IF(OR($B313="",$G313=""),"",$G313*(N($D313)-N($F313)))</f>
        <v/>
      </c>
      <c r="I313" s="12">
        <f>IF($H313="","",$H313*'設定'!$C$4)</f>
        <v/>
      </c>
      <c r="J313" s="13">
        <f>IF(N($C313)=0,"",N($D313)/$C313)</f>
        <v/>
      </c>
      <c r="K313" s="13">
        <f>IF(N($D313)=0,"",N($E313)/$D313)</f>
        <v/>
      </c>
    </row>
    <row r="314">
      <c r="A314" s="8" t="n"/>
      <c r="B314" s="7" t="n"/>
      <c r="C314" s="10" t="n"/>
      <c r="D314" s="11" t="n"/>
      <c r="E314" s="11" t="n"/>
      <c r="F314" s="11" t="n"/>
      <c r="G314" s="12">
        <f>IF($B314="","",IFERROR(INDEX('商品'!$C$4:$C$18,MATCH($B314,'商品'!$A$4:$A$18,0)),""))</f>
        <v/>
      </c>
      <c r="H314" s="12">
        <f>IF(OR($B314="",$G314=""),"",$G314*(N($D314)-N($F314)))</f>
        <v/>
      </c>
      <c r="I314" s="12">
        <f>IF($H314="","",$H314*'設定'!$C$4)</f>
        <v/>
      </c>
      <c r="J314" s="13">
        <f>IF(N($C314)=0,"",N($D314)/$C314)</f>
        <v/>
      </c>
      <c r="K314" s="13">
        <f>IF(N($D314)=0,"",N($E314)/$D314)</f>
        <v/>
      </c>
    </row>
    <row r="315">
      <c r="A315" s="8" t="n"/>
      <c r="B315" s="7" t="n"/>
      <c r="C315" s="10" t="n"/>
      <c r="D315" s="11" t="n"/>
      <c r="E315" s="11" t="n"/>
      <c r="F315" s="11" t="n"/>
      <c r="G315" s="12">
        <f>IF($B315="","",IFERROR(INDEX('商品'!$C$4:$C$18,MATCH($B315,'商品'!$A$4:$A$18,0)),""))</f>
        <v/>
      </c>
      <c r="H315" s="12">
        <f>IF(OR($B315="",$G315=""),"",$G315*(N($D315)-N($F315)))</f>
        <v/>
      </c>
      <c r="I315" s="12">
        <f>IF($H315="","",$H315*'設定'!$C$4)</f>
        <v/>
      </c>
      <c r="J315" s="13">
        <f>IF(N($C315)=0,"",N($D315)/$C315)</f>
        <v/>
      </c>
      <c r="K315" s="13">
        <f>IF(N($D315)=0,"",N($E315)/$D315)</f>
        <v/>
      </c>
    </row>
    <row r="316">
      <c r="A316" s="8" t="n"/>
      <c r="B316" s="7" t="n"/>
      <c r="C316" s="10" t="n"/>
      <c r="D316" s="11" t="n"/>
      <c r="E316" s="11" t="n"/>
      <c r="F316" s="11" t="n"/>
      <c r="G316" s="12">
        <f>IF($B316="","",IFERROR(INDEX('商品'!$C$4:$C$18,MATCH($B316,'商品'!$A$4:$A$18,0)),""))</f>
        <v/>
      </c>
      <c r="H316" s="12">
        <f>IF(OR($B316="",$G316=""),"",$G316*(N($D316)-N($F316)))</f>
        <v/>
      </c>
      <c r="I316" s="12">
        <f>IF($H316="","",$H316*'設定'!$C$4)</f>
        <v/>
      </c>
      <c r="J316" s="13">
        <f>IF(N($C316)=0,"",N($D316)/$C316)</f>
        <v/>
      </c>
      <c r="K316" s="13">
        <f>IF(N($D316)=0,"",N($E316)/$D316)</f>
        <v/>
      </c>
    </row>
    <row r="317">
      <c r="A317" s="8" t="n"/>
      <c r="B317" s="7" t="n"/>
      <c r="C317" s="10" t="n"/>
      <c r="D317" s="11" t="n"/>
      <c r="E317" s="11" t="n"/>
      <c r="F317" s="11" t="n"/>
      <c r="G317" s="12">
        <f>IF($B317="","",IFERROR(INDEX('商品'!$C$4:$C$18,MATCH($B317,'商品'!$A$4:$A$18,0)),""))</f>
        <v/>
      </c>
      <c r="H317" s="12">
        <f>IF(OR($B317="",$G317=""),"",$G317*(N($D317)-N($F317)))</f>
        <v/>
      </c>
      <c r="I317" s="12">
        <f>IF($H317="","",$H317*'設定'!$C$4)</f>
        <v/>
      </c>
      <c r="J317" s="13">
        <f>IF(N($C317)=0,"",N($D317)/$C317)</f>
        <v/>
      </c>
      <c r="K317" s="13">
        <f>IF(N($D317)=0,"",N($E317)/$D317)</f>
        <v/>
      </c>
    </row>
    <row r="318">
      <c r="A318" s="8" t="n"/>
      <c r="B318" s="7" t="n"/>
      <c r="C318" s="10" t="n"/>
      <c r="D318" s="11" t="n"/>
      <c r="E318" s="11" t="n"/>
      <c r="F318" s="11" t="n"/>
      <c r="G318" s="12">
        <f>IF($B318="","",IFERROR(INDEX('商品'!$C$4:$C$18,MATCH($B318,'商品'!$A$4:$A$18,0)),""))</f>
        <v/>
      </c>
      <c r="H318" s="12">
        <f>IF(OR($B318="",$G318=""),"",$G318*(N($D318)-N($F318)))</f>
        <v/>
      </c>
      <c r="I318" s="12">
        <f>IF($H318="","",$H318*'設定'!$C$4)</f>
        <v/>
      </c>
      <c r="J318" s="13">
        <f>IF(N($C318)=0,"",N($D318)/$C318)</f>
        <v/>
      </c>
      <c r="K318" s="13">
        <f>IF(N($D318)=0,"",N($E318)/$D318)</f>
        <v/>
      </c>
    </row>
    <row r="319">
      <c r="A319" s="8" t="n"/>
      <c r="B319" s="7" t="n"/>
      <c r="C319" s="10" t="n"/>
      <c r="D319" s="11" t="n"/>
      <c r="E319" s="11" t="n"/>
      <c r="F319" s="11" t="n"/>
      <c r="G319" s="12">
        <f>IF($B319="","",IFERROR(INDEX('商品'!$C$4:$C$18,MATCH($B319,'商品'!$A$4:$A$18,0)),""))</f>
        <v/>
      </c>
      <c r="H319" s="12">
        <f>IF(OR($B319="",$G319=""),"",$G319*(N($D319)-N($F319)))</f>
        <v/>
      </c>
      <c r="I319" s="12">
        <f>IF($H319="","",$H319*'設定'!$C$4)</f>
        <v/>
      </c>
      <c r="J319" s="13">
        <f>IF(N($C319)=0,"",N($D319)/$C319)</f>
        <v/>
      </c>
      <c r="K319" s="13">
        <f>IF(N($D319)=0,"",N($E319)/$D319)</f>
        <v/>
      </c>
    </row>
    <row r="320">
      <c r="A320" s="8" t="n"/>
      <c r="B320" s="7" t="n"/>
      <c r="C320" s="10" t="n"/>
      <c r="D320" s="11" t="n"/>
      <c r="E320" s="11" t="n"/>
      <c r="F320" s="11" t="n"/>
      <c r="G320" s="12">
        <f>IF($B320="","",IFERROR(INDEX('商品'!$C$4:$C$18,MATCH($B320,'商品'!$A$4:$A$18,0)),""))</f>
        <v/>
      </c>
      <c r="H320" s="12">
        <f>IF(OR($B320="",$G320=""),"",$G320*(N($D320)-N($F320)))</f>
        <v/>
      </c>
      <c r="I320" s="12">
        <f>IF($H320="","",$H320*'設定'!$C$4)</f>
        <v/>
      </c>
      <c r="J320" s="13">
        <f>IF(N($C320)=0,"",N($D320)/$C320)</f>
        <v/>
      </c>
      <c r="K320" s="13">
        <f>IF(N($D320)=0,"",N($E320)/$D320)</f>
        <v/>
      </c>
    </row>
    <row r="321">
      <c r="A321" s="8" t="n"/>
      <c r="B321" s="7" t="n"/>
      <c r="C321" s="10" t="n"/>
      <c r="D321" s="11" t="n"/>
      <c r="E321" s="11" t="n"/>
      <c r="F321" s="11" t="n"/>
      <c r="G321" s="12">
        <f>IF($B321="","",IFERROR(INDEX('商品'!$C$4:$C$18,MATCH($B321,'商品'!$A$4:$A$18,0)),""))</f>
        <v/>
      </c>
      <c r="H321" s="12">
        <f>IF(OR($B321="",$G321=""),"",$G321*(N($D321)-N($F321)))</f>
        <v/>
      </c>
      <c r="I321" s="12">
        <f>IF($H321="","",$H321*'設定'!$C$4)</f>
        <v/>
      </c>
      <c r="J321" s="13">
        <f>IF(N($C321)=0,"",N($D321)/$C321)</f>
        <v/>
      </c>
      <c r="K321" s="13">
        <f>IF(N($D321)=0,"",N($E321)/$D321)</f>
        <v/>
      </c>
    </row>
    <row r="322">
      <c r="A322" s="8" t="n"/>
      <c r="B322" s="7" t="n"/>
      <c r="C322" s="10" t="n"/>
      <c r="D322" s="11" t="n"/>
      <c r="E322" s="11" t="n"/>
      <c r="F322" s="11" t="n"/>
      <c r="G322" s="12">
        <f>IF($B322="","",IFERROR(INDEX('商品'!$C$4:$C$18,MATCH($B322,'商品'!$A$4:$A$18,0)),""))</f>
        <v/>
      </c>
      <c r="H322" s="12">
        <f>IF(OR($B322="",$G322=""),"",$G322*(N($D322)-N($F322)))</f>
        <v/>
      </c>
      <c r="I322" s="12">
        <f>IF($H322="","",$H322*'設定'!$C$4)</f>
        <v/>
      </c>
      <c r="J322" s="13">
        <f>IF(N($C322)=0,"",N($D322)/$C322)</f>
        <v/>
      </c>
      <c r="K322" s="13">
        <f>IF(N($D322)=0,"",N($E322)/$D322)</f>
        <v/>
      </c>
    </row>
    <row r="323">
      <c r="A323" s="8" t="n"/>
      <c r="B323" s="7" t="n"/>
      <c r="C323" s="10" t="n"/>
      <c r="D323" s="11" t="n"/>
      <c r="E323" s="11" t="n"/>
      <c r="F323" s="11" t="n"/>
      <c r="G323" s="12">
        <f>IF($B323="","",IFERROR(INDEX('商品'!$C$4:$C$18,MATCH($B323,'商品'!$A$4:$A$18,0)),""))</f>
        <v/>
      </c>
      <c r="H323" s="12">
        <f>IF(OR($B323="",$G323=""),"",$G323*(N($D323)-N($F323)))</f>
        <v/>
      </c>
      <c r="I323" s="12">
        <f>IF($H323="","",$H323*'設定'!$C$4)</f>
        <v/>
      </c>
      <c r="J323" s="13">
        <f>IF(N($C323)=0,"",N($D323)/$C323)</f>
        <v/>
      </c>
      <c r="K323" s="13">
        <f>IF(N($D323)=0,"",N($E323)/$D323)</f>
        <v/>
      </c>
    </row>
    <row r="324">
      <c r="A324" s="8" t="n"/>
      <c r="B324" s="7" t="n"/>
      <c r="C324" s="10" t="n"/>
      <c r="D324" s="11" t="n"/>
      <c r="E324" s="11" t="n"/>
      <c r="F324" s="11" t="n"/>
      <c r="G324" s="12">
        <f>IF($B324="","",IFERROR(INDEX('商品'!$C$4:$C$18,MATCH($B324,'商品'!$A$4:$A$18,0)),""))</f>
        <v/>
      </c>
      <c r="H324" s="12">
        <f>IF(OR($B324="",$G324=""),"",$G324*(N($D324)-N($F324)))</f>
        <v/>
      </c>
      <c r="I324" s="12">
        <f>IF($H324="","",$H324*'設定'!$C$4)</f>
        <v/>
      </c>
      <c r="J324" s="13">
        <f>IF(N($C324)=0,"",N($D324)/$C324)</f>
        <v/>
      </c>
      <c r="K324" s="13">
        <f>IF(N($D324)=0,"",N($E324)/$D324)</f>
        <v/>
      </c>
    </row>
    <row r="325">
      <c r="A325" s="8" t="n"/>
      <c r="B325" s="7" t="n"/>
      <c r="C325" s="10" t="n"/>
      <c r="D325" s="11" t="n"/>
      <c r="E325" s="11" t="n"/>
      <c r="F325" s="11" t="n"/>
      <c r="G325" s="12">
        <f>IF($B325="","",IFERROR(INDEX('商品'!$C$4:$C$18,MATCH($B325,'商品'!$A$4:$A$18,0)),""))</f>
        <v/>
      </c>
      <c r="H325" s="12">
        <f>IF(OR($B325="",$G325=""),"",$G325*(N($D325)-N($F325)))</f>
        <v/>
      </c>
      <c r="I325" s="12">
        <f>IF($H325="","",$H325*'設定'!$C$4)</f>
        <v/>
      </c>
      <c r="J325" s="13">
        <f>IF(N($C325)=0,"",N($D325)/$C325)</f>
        <v/>
      </c>
      <c r="K325" s="13">
        <f>IF(N($D325)=0,"",N($E325)/$D325)</f>
        <v/>
      </c>
    </row>
    <row r="326">
      <c r="A326" s="8" t="n"/>
      <c r="B326" s="7" t="n"/>
      <c r="C326" s="10" t="n"/>
      <c r="D326" s="11" t="n"/>
      <c r="E326" s="11" t="n"/>
      <c r="F326" s="11" t="n"/>
      <c r="G326" s="12">
        <f>IF($B326="","",IFERROR(INDEX('商品'!$C$4:$C$18,MATCH($B326,'商品'!$A$4:$A$18,0)),""))</f>
        <v/>
      </c>
      <c r="H326" s="12">
        <f>IF(OR($B326="",$G326=""),"",$G326*(N($D326)-N($F326)))</f>
        <v/>
      </c>
      <c r="I326" s="12">
        <f>IF($H326="","",$H326*'設定'!$C$4)</f>
        <v/>
      </c>
      <c r="J326" s="13">
        <f>IF(N($C326)=0,"",N($D326)/$C326)</f>
        <v/>
      </c>
      <c r="K326" s="13">
        <f>IF(N($D326)=0,"",N($E326)/$D326)</f>
        <v/>
      </c>
    </row>
    <row r="327">
      <c r="A327" s="8" t="n"/>
      <c r="B327" s="7" t="n"/>
      <c r="C327" s="10" t="n"/>
      <c r="D327" s="11" t="n"/>
      <c r="E327" s="11" t="n"/>
      <c r="F327" s="11" t="n"/>
      <c r="G327" s="12">
        <f>IF($B327="","",IFERROR(INDEX('商品'!$C$4:$C$18,MATCH($B327,'商品'!$A$4:$A$18,0)),""))</f>
        <v/>
      </c>
      <c r="H327" s="12">
        <f>IF(OR($B327="",$G327=""),"",$G327*(N($D327)-N($F327)))</f>
        <v/>
      </c>
      <c r="I327" s="12">
        <f>IF($H327="","",$H327*'設定'!$C$4)</f>
        <v/>
      </c>
      <c r="J327" s="13">
        <f>IF(N($C327)=0,"",N($D327)/$C327)</f>
        <v/>
      </c>
      <c r="K327" s="13">
        <f>IF(N($D327)=0,"",N($E327)/$D327)</f>
        <v/>
      </c>
    </row>
    <row r="328">
      <c r="A328" s="8" t="n"/>
      <c r="B328" s="7" t="n"/>
      <c r="C328" s="10" t="n"/>
      <c r="D328" s="11" t="n"/>
      <c r="E328" s="11" t="n"/>
      <c r="F328" s="11" t="n"/>
      <c r="G328" s="12">
        <f>IF($B328="","",IFERROR(INDEX('商品'!$C$4:$C$18,MATCH($B328,'商品'!$A$4:$A$18,0)),""))</f>
        <v/>
      </c>
      <c r="H328" s="12">
        <f>IF(OR($B328="",$G328=""),"",$G328*(N($D328)-N($F328)))</f>
        <v/>
      </c>
      <c r="I328" s="12">
        <f>IF($H328="","",$H328*'設定'!$C$4)</f>
        <v/>
      </c>
      <c r="J328" s="13">
        <f>IF(N($C328)=0,"",N($D328)/$C328)</f>
        <v/>
      </c>
      <c r="K328" s="13">
        <f>IF(N($D328)=0,"",N($E328)/$D328)</f>
        <v/>
      </c>
    </row>
    <row r="329">
      <c r="A329" s="8" t="n"/>
      <c r="B329" s="7" t="n"/>
      <c r="C329" s="10" t="n"/>
      <c r="D329" s="11" t="n"/>
      <c r="E329" s="11" t="n"/>
      <c r="F329" s="11" t="n"/>
      <c r="G329" s="12">
        <f>IF($B329="","",IFERROR(INDEX('商品'!$C$4:$C$18,MATCH($B329,'商品'!$A$4:$A$18,0)),""))</f>
        <v/>
      </c>
      <c r="H329" s="12">
        <f>IF(OR($B329="",$G329=""),"",$G329*(N($D329)-N($F329)))</f>
        <v/>
      </c>
      <c r="I329" s="12">
        <f>IF($H329="","",$H329*'設定'!$C$4)</f>
        <v/>
      </c>
      <c r="J329" s="13">
        <f>IF(N($C329)=0,"",N($D329)/$C329)</f>
        <v/>
      </c>
      <c r="K329" s="13">
        <f>IF(N($D329)=0,"",N($E329)/$D329)</f>
        <v/>
      </c>
    </row>
    <row r="330">
      <c r="A330" s="8" t="n"/>
      <c r="B330" s="7" t="n"/>
      <c r="C330" s="10" t="n"/>
      <c r="D330" s="11" t="n"/>
      <c r="E330" s="11" t="n"/>
      <c r="F330" s="11" t="n"/>
      <c r="G330" s="12">
        <f>IF($B330="","",IFERROR(INDEX('商品'!$C$4:$C$18,MATCH($B330,'商品'!$A$4:$A$18,0)),""))</f>
        <v/>
      </c>
      <c r="H330" s="12">
        <f>IF(OR($B330="",$G330=""),"",$G330*(N($D330)-N($F330)))</f>
        <v/>
      </c>
      <c r="I330" s="12">
        <f>IF($H330="","",$H330*'設定'!$C$4)</f>
        <v/>
      </c>
      <c r="J330" s="13">
        <f>IF(N($C330)=0,"",N($D330)/$C330)</f>
        <v/>
      </c>
      <c r="K330" s="13">
        <f>IF(N($D330)=0,"",N($E330)/$D330)</f>
        <v/>
      </c>
    </row>
    <row r="331">
      <c r="A331" s="8" t="n"/>
      <c r="B331" s="7" t="n"/>
      <c r="C331" s="10" t="n"/>
      <c r="D331" s="11" t="n"/>
      <c r="E331" s="11" t="n"/>
      <c r="F331" s="11" t="n"/>
      <c r="G331" s="12">
        <f>IF($B331="","",IFERROR(INDEX('商品'!$C$4:$C$18,MATCH($B331,'商品'!$A$4:$A$18,0)),""))</f>
        <v/>
      </c>
      <c r="H331" s="12">
        <f>IF(OR($B331="",$G331=""),"",$G331*(N($D331)-N($F331)))</f>
        <v/>
      </c>
      <c r="I331" s="12">
        <f>IF($H331="","",$H331*'設定'!$C$4)</f>
        <v/>
      </c>
      <c r="J331" s="13">
        <f>IF(N($C331)=0,"",N($D331)/$C331)</f>
        <v/>
      </c>
      <c r="K331" s="13">
        <f>IF(N($D331)=0,"",N($E331)/$D331)</f>
        <v/>
      </c>
    </row>
    <row r="332">
      <c r="A332" s="8" t="n"/>
      <c r="B332" s="7" t="n"/>
      <c r="C332" s="10" t="n"/>
      <c r="D332" s="11" t="n"/>
      <c r="E332" s="11" t="n"/>
      <c r="F332" s="11" t="n"/>
      <c r="G332" s="12">
        <f>IF($B332="","",IFERROR(INDEX('商品'!$C$4:$C$18,MATCH($B332,'商品'!$A$4:$A$18,0)),""))</f>
        <v/>
      </c>
      <c r="H332" s="12">
        <f>IF(OR($B332="",$G332=""),"",$G332*(N($D332)-N($F332)))</f>
        <v/>
      </c>
      <c r="I332" s="12">
        <f>IF($H332="","",$H332*'設定'!$C$4)</f>
        <v/>
      </c>
      <c r="J332" s="13">
        <f>IF(N($C332)=0,"",N($D332)/$C332)</f>
        <v/>
      </c>
      <c r="K332" s="13">
        <f>IF(N($D332)=0,"",N($E332)/$D332)</f>
        <v/>
      </c>
    </row>
    <row r="333">
      <c r="A333" s="8" t="n"/>
      <c r="B333" s="7" t="n"/>
      <c r="C333" s="10" t="n"/>
      <c r="D333" s="11" t="n"/>
      <c r="E333" s="11" t="n"/>
      <c r="F333" s="11" t="n"/>
      <c r="G333" s="12">
        <f>IF($B333="","",IFERROR(INDEX('商品'!$C$4:$C$18,MATCH($B333,'商品'!$A$4:$A$18,0)),""))</f>
        <v/>
      </c>
      <c r="H333" s="12">
        <f>IF(OR($B333="",$G333=""),"",$G333*(N($D333)-N($F333)))</f>
        <v/>
      </c>
      <c r="I333" s="12">
        <f>IF($H333="","",$H333*'設定'!$C$4)</f>
        <v/>
      </c>
      <c r="J333" s="13">
        <f>IF(N($C333)=0,"",N($D333)/$C333)</f>
        <v/>
      </c>
      <c r="K333" s="13">
        <f>IF(N($D333)=0,"",N($E333)/$D333)</f>
        <v/>
      </c>
    </row>
    <row r="334">
      <c r="A334" s="8" t="n"/>
      <c r="B334" s="7" t="n"/>
      <c r="C334" s="10" t="n"/>
      <c r="D334" s="11" t="n"/>
      <c r="E334" s="11" t="n"/>
      <c r="F334" s="11" t="n"/>
      <c r="G334" s="12">
        <f>IF($B334="","",IFERROR(INDEX('商品'!$C$4:$C$18,MATCH($B334,'商品'!$A$4:$A$18,0)),""))</f>
        <v/>
      </c>
      <c r="H334" s="12">
        <f>IF(OR($B334="",$G334=""),"",$G334*(N($D334)-N($F334)))</f>
        <v/>
      </c>
      <c r="I334" s="12">
        <f>IF($H334="","",$H334*'設定'!$C$4)</f>
        <v/>
      </c>
      <c r="J334" s="13">
        <f>IF(N($C334)=0,"",N($D334)/$C334)</f>
        <v/>
      </c>
      <c r="K334" s="13">
        <f>IF(N($D334)=0,"",N($E334)/$D334)</f>
        <v/>
      </c>
    </row>
    <row r="335">
      <c r="A335" s="8" t="n"/>
      <c r="B335" s="7" t="n"/>
      <c r="C335" s="10" t="n"/>
      <c r="D335" s="11" t="n"/>
      <c r="E335" s="11" t="n"/>
      <c r="F335" s="11" t="n"/>
      <c r="G335" s="12">
        <f>IF($B335="","",IFERROR(INDEX('商品'!$C$4:$C$18,MATCH($B335,'商品'!$A$4:$A$18,0)),""))</f>
        <v/>
      </c>
      <c r="H335" s="12">
        <f>IF(OR($B335="",$G335=""),"",$G335*(N($D335)-N($F335)))</f>
        <v/>
      </c>
      <c r="I335" s="12">
        <f>IF($H335="","",$H335*'設定'!$C$4)</f>
        <v/>
      </c>
      <c r="J335" s="13">
        <f>IF(N($C335)=0,"",N($D335)/$C335)</f>
        <v/>
      </c>
      <c r="K335" s="13">
        <f>IF(N($D335)=0,"",N($E335)/$D335)</f>
        <v/>
      </c>
    </row>
    <row r="336">
      <c r="A336" s="8" t="n"/>
      <c r="B336" s="7" t="n"/>
      <c r="C336" s="10" t="n"/>
      <c r="D336" s="11" t="n"/>
      <c r="E336" s="11" t="n"/>
      <c r="F336" s="11" t="n"/>
      <c r="G336" s="12">
        <f>IF($B336="","",IFERROR(INDEX('商品'!$C$4:$C$18,MATCH($B336,'商品'!$A$4:$A$18,0)),""))</f>
        <v/>
      </c>
      <c r="H336" s="12">
        <f>IF(OR($B336="",$G336=""),"",$G336*(N($D336)-N($F336)))</f>
        <v/>
      </c>
      <c r="I336" s="12">
        <f>IF($H336="","",$H336*'設定'!$C$4)</f>
        <v/>
      </c>
      <c r="J336" s="13">
        <f>IF(N($C336)=0,"",N($D336)/$C336)</f>
        <v/>
      </c>
      <c r="K336" s="13">
        <f>IF(N($D336)=0,"",N($E336)/$D336)</f>
        <v/>
      </c>
    </row>
    <row r="337">
      <c r="A337" s="8" t="n"/>
      <c r="B337" s="7" t="n"/>
      <c r="C337" s="10" t="n"/>
      <c r="D337" s="11" t="n"/>
      <c r="E337" s="11" t="n"/>
      <c r="F337" s="11" t="n"/>
      <c r="G337" s="12">
        <f>IF($B337="","",IFERROR(INDEX('商品'!$C$4:$C$18,MATCH($B337,'商品'!$A$4:$A$18,0)),""))</f>
        <v/>
      </c>
      <c r="H337" s="12">
        <f>IF(OR($B337="",$G337=""),"",$G337*(N($D337)-N($F337)))</f>
        <v/>
      </c>
      <c r="I337" s="12">
        <f>IF($H337="","",$H337*'設定'!$C$4)</f>
        <v/>
      </c>
      <c r="J337" s="13">
        <f>IF(N($C337)=0,"",N($D337)/$C337)</f>
        <v/>
      </c>
      <c r="K337" s="13">
        <f>IF(N($D337)=0,"",N($E337)/$D337)</f>
        <v/>
      </c>
    </row>
    <row r="338">
      <c r="A338" s="8" t="n"/>
      <c r="B338" s="7" t="n"/>
      <c r="C338" s="10" t="n"/>
      <c r="D338" s="11" t="n"/>
      <c r="E338" s="11" t="n"/>
      <c r="F338" s="11" t="n"/>
      <c r="G338" s="12">
        <f>IF($B338="","",IFERROR(INDEX('商品'!$C$4:$C$18,MATCH($B338,'商品'!$A$4:$A$18,0)),""))</f>
        <v/>
      </c>
      <c r="H338" s="12">
        <f>IF(OR($B338="",$G338=""),"",$G338*(N($D338)-N($F338)))</f>
        <v/>
      </c>
      <c r="I338" s="12">
        <f>IF($H338="","",$H338*'設定'!$C$4)</f>
        <v/>
      </c>
      <c r="J338" s="13">
        <f>IF(N($C338)=0,"",N($D338)/$C338)</f>
        <v/>
      </c>
      <c r="K338" s="13">
        <f>IF(N($D338)=0,"",N($E338)/$D338)</f>
        <v/>
      </c>
    </row>
    <row r="339">
      <c r="A339" s="8" t="n"/>
      <c r="B339" s="7" t="n"/>
      <c r="C339" s="10" t="n"/>
      <c r="D339" s="11" t="n"/>
      <c r="E339" s="11" t="n"/>
      <c r="F339" s="11" t="n"/>
      <c r="G339" s="12">
        <f>IF($B339="","",IFERROR(INDEX('商品'!$C$4:$C$18,MATCH($B339,'商品'!$A$4:$A$18,0)),""))</f>
        <v/>
      </c>
      <c r="H339" s="12">
        <f>IF(OR($B339="",$G339=""),"",$G339*(N($D339)-N($F339)))</f>
        <v/>
      </c>
      <c r="I339" s="12">
        <f>IF($H339="","",$H339*'設定'!$C$4)</f>
        <v/>
      </c>
      <c r="J339" s="13">
        <f>IF(N($C339)=0,"",N($D339)/$C339)</f>
        <v/>
      </c>
      <c r="K339" s="13">
        <f>IF(N($D339)=0,"",N($E339)/$D339)</f>
        <v/>
      </c>
    </row>
    <row r="340">
      <c r="A340" s="8" t="n"/>
      <c r="B340" s="7" t="n"/>
      <c r="C340" s="10" t="n"/>
      <c r="D340" s="11" t="n"/>
      <c r="E340" s="11" t="n"/>
      <c r="F340" s="11" t="n"/>
      <c r="G340" s="12">
        <f>IF($B340="","",IFERROR(INDEX('商品'!$C$4:$C$18,MATCH($B340,'商品'!$A$4:$A$18,0)),""))</f>
        <v/>
      </c>
      <c r="H340" s="12">
        <f>IF(OR($B340="",$G340=""),"",$G340*(N($D340)-N($F340)))</f>
        <v/>
      </c>
      <c r="I340" s="12">
        <f>IF($H340="","",$H340*'設定'!$C$4)</f>
        <v/>
      </c>
      <c r="J340" s="13">
        <f>IF(N($C340)=0,"",N($D340)/$C340)</f>
        <v/>
      </c>
      <c r="K340" s="13">
        <f>IF(N($D340)=0,"",N($E340)/$D340)</f>
        <v/>
      </c>
    </row>
    <row r="341">
      <c r="A341" s="8" t="n"/>
      <c r="B341" s="7" t="n"/>
      <c r="C341" s="10" t="n"/>
      <c r="D341" s="11" t="n"/>
      <c r="E341" s="11" t="n"/>
      <c r="F341" s="11" t="n"/>
      <c r="G341" s="12">
        <f>IF($B341="","",IFERROR(INDEX('商品'!$C$4:$C$18,MATCH($B341,'商品'!$A$4:$A$18,0)),""))</f>
        <v/>
      </c>
      <c r="H341" s="12">
        <f>IF(OR($B341="",$G341=""),"",$G341*(N($D341)-N($F341)))</f>
        <v/>
      </c>
      <c r="I341" s="12">
        <f>IF($H341="","",$H341*'設定'!$C$4)</f>
        <v/>
      </c>
      <c r="J341" s="13">
        <f>IF(N($C341)=0,"",N($D341)/$C341)</f>
        <v/>
      </c>
      <c r="K341" s="13">
        <f>IF(N($D341)=0,"",N($E341)/$D341)</f>
        <v/>
      </c>
    </row>
    <row r="342">
      <c r="A342" s="8" t="n"/>
      <c r="B342" s="7" t="n"/>
      <c r="C342" s="10" t="n"/>
      <c r="D342" s="11" t="n"/>
      <c r="E342" s="11" t="n"/>
      <c r="F342" s="11" t="n"/>
      <c r="G342" s="12">
        <f>IF($B342="","",IFERROR(INDEX('商品'!$C$4:$C$18,MATCH($B342,'商品'!$A$4:$A$18,0)),""))</f>
        <v/>
      </c>
      <c r="H342" s="12">
        <f>IF(OR($B342="",$G342=""),"",$G342*(N($D342)-N($F342)))</f>
        <v/>
      </c>
      <c r="I342" s="12">
        <f>IF($H342="","",$H342*'設定'!$C$4)</f>
        <v/>
      </c>
      <c r="J342" s="13">
        <f>IF(N($C342)=0,"",N($D342)/$C342)</f>
        <v/>
      </c>
      <c r="K342" s="13">
        <f>IF(N($D342)=0,"",N($E342)/$D342)</f>
        <v/>
      </c>
    </row>
    <row r="343">
      <c r="A343" s="8" t="n"/>
      <c r="B343" s="7" t="n"/>
      <c r="C343" s="10" t="n"/>
      <c r="D343" s="11" t="n"/>
      <c r="E343" s="11" t="n"/>
      <c r="F343" s="11" t="n"/>
      <c r="G343" s="12">
        <f>IF($B343="","",IFERROR(INDEX('商品'!$C$4:$C$18,MATCH($B343,'商品'!$A$4:$A$18,0)),""))</f>
        <v/>
      </c>
      <c r="H343" s="12">
        <f>IF(OR($B343="",$G343=""),"",$G343*(N($D343)-N($F343)))</f>
        <v/>
      </c>
      <c r="I343" s="12">
        <f>IF($H343="","",$H343*'設定'!$C$4)</f>
        <v/>
      </c>
      <c r="J343" s="13">
        <f>IF(N($C343)=0,"",N($D343)/$C343)</f>
        <v/>
      </c>
      <c r="K343" s="13">
        <f>IF(N($D343)=0,"",N($E343)/$D343)</f>
        <v/>
      </c>
    </row>
    <row r="344">
      <c r="A344" s="8" t="n"/>
      <c r="B344" s="7" t="n"/>
      <c r="C344" s="10" t="n"/>
      <c r="D344" s="11" t="n"/>
      <c r="E344" s="11" t="n"/>
      <c r="F344" s="11" t="n"/>
      <c r="G344" s="12">
        <f>IF($B344="","",IFERROR(INDEX('商品'!$C$4:$C$18,MATCH($B344,'商品'!$A$4:$A$18,0)),""))</f>
        <v/>
      </c>
      <c r="H344" s="12">
        <f>IF(OR($B344="",$G344=""),"",$G344*(N($D344)-N($F344)))</f>
        <v/>
      </c>
      <c r="I344" s="12">
        <f>IF($H344="","",$H344*'設定'!$C$4)</f>
        <v/>
      </c>
      <c r="J344" s="13">
        <f>IF(N($C344)=0,"",N($D344)/$C344)</f>
        <v/>
      </c>
      <c r="K344" s="13">
        <f>IF(N($D344)=0,"",N($E344)/$D344)</f>
        <v/>
      </c>
    </row>
    <row r="345">
      <c r="A345" s="8" t="n"/>
      <c r="B345" s="7" t="n"/>
      <c r="C345" s="10" t="n"/>
      <c r="D345" s="11" t="n"/>
      <c r="E345" s="11" t="n"/>
      <c r="F345" s="11" t="n"/>
      <c r="G345" s="12">
        <f>IF($B345="","",IFERROR(INDEX('商品'!$C$4:$C$18,MATCH($B345,'商品'!$A$4:$A$18,0)),""))</f>
        <v/>
      </c>
      <c r="H345" s="12">
        <f>IF(OR($B345="",$G345=""),"",$G345*(N($D345)-N($F345)))</f>
        <v/>
      </c>
      <c r="I345" s="12">
        <f>IF($H345="","",$H345*'設定'!$C$4)</f>
        <v/>
      </c>
      <c r="J345" s="13">
        <f>IF(N($C345)=0,"",N($D345)/$C345)</f>
        <v/>
      </c>
      <c r="K345" s="13">
        <f>IF(N($D345)=0,"",N($E345)/$D345)</f>
        <v/>
      </c>
    </row>
    <row r="346">
      <c r="A346" s="8" t="n"/>
      <c r="B346" s="7" t="n"/>
      <c r="C346" s="10" t="n"/>
      <c r="D346" s="11" t="n"/>
      <c r="E346" s="11" t="n"/>
      <c r="F346" s="11" t="n"/>
      <c r="G346" s="12">
        <f>IF($B346="","",IFERROR(INDEX('商品'!$C$4:$C$18,MATCH($B346,'商品'!$A$4:$A$18,0)),""))</f>
        <v/>
      </c>
      <c r="H346" s="12">
        <f>IF(OR($B346="",$G346=""),"",$G346*(N($D346)-N($F346)))</f>
        <v/>
      </c>
      <c r="I346" s="12">
        <f>IF($H346="","",$H346*'設定'!$C$4)</f>
        <v/>
      </c>
      <c r="J346" s="13">
        <f>IF(N($C346)=0,"",N($D346)/$C346)</f>
        <v/>
      </c>
      <c r="K346" s="13">
        <f>IF(N($D346)=0,"",N($E346)/$D346)</f>
        <v/>
      </c>
    </row>
    <row r="347">
      <c r="A347" s="8" t="n"/>
      <c r="B347" s="7" t="n"/>
      <c r="C347" s="10" t="n"/>
      <c r="D347" s="11" t="n"/>
      <c r="E347" s="11" t="n"/>
      <c r="F347" s="11" t="n"/>
      <c r="G347" s="12">
        <f>IF($B347="","",IFERROR(INDEX('商品'!$C$4:$C$18,MATCH($B347,'商品'!$A$4:$A$18,0)),""))</f>
        <v/>
      </c>
      <c r="H347" s="12">
        <f>IF(OR($B347="",$G347=""),"",$G347*(N($D347)-N($F347)))</f>
        <v/>
      </c>
      <c r="I347" s="12">
        <f>IF($H347="","",$H347*'設定'!$C$4)</f>
        <v/>
      </c>
      <c r="J347" s="13">
        <f>IF(N($C347)=0,"",N($D347)/$C347)</f>
        <v/>
      </c>
      <c r="K347" s="13">
        <f>IF(N($D347)=0,"",N($E347)/$D347)</f>
        <v/>
      </c>
    </row>
    <row r="348">
      <c r="A348" s="8" t="n"/>
      <c r="B348" s="7" t="n"/>
      <c r="C348" s="10" t="n"/>
      <c r="D348" s="11" t="n"/>
      <c r="E348" s="11" t="n"/>
      <c r="F348" s="11" t="n"/>
      <c r="G348" s="12">
        <f>IF($B348="","",IFERROR(INDEX('商品'!$C$4:$C$18,MATCH($B348,'商品'!$A$4:$A$18,0)),""))</f>
        <v/>
      </c>
      <c r="H348" s="12">
        <f>IF(OR($B348="",$G348=""),"",$G348*(N($D348)-N($F348)))</f>
        <v/>
      </c>
      <c r="I348" s="12">
        <f>IF($H348="","",$H348*'設定'!$C$4)</f>
        <v/>
      </c>
      <c r="J348" s="13">
        <f>IF(N($C348)=0,"",N($D348)/$C348)</f>
        <v/>
      </c>
      <c r="K348" s="13">
        <f>IF(N($D348)=0,"",N($E348)/$D348)</f>
        <v/>
      </c>
    </row>
    <row r="349">
      <c r="A349" s="8" t="n"/>
      <c r="B349" s="7" t="n"/>
      <c r="C349" s="10" t="n"/>
      <c r="D349" s="11" t="n"/>
      <c r="E349" s="11" t="n"/>
      <c r="F349" s="11" t="n"/>
      <c r="G349" s="12">
        <f>IF($B349="","",IFERROR(INDEX('商品'!$C$4:$C$18,MATCH($B349,'商品'!$A$4:$A$18,0)),""))</f>
        <v/>
      </c>
      <c r="H349" s="12">
        <f>IF(OR($B349="",$G349=""),"",$G349*(N($D349)-N($F349)))</f>
        <v/>
      </c>
      <c r="I349" s="12">
        <f>IF($H349="","",$H349*'設定'!$C$4)</f>
        <v/>
      </c>
      <c r="J349" s="13">
        <f>IF(N($C349)=0,"",N($D349)/$C349)</f>
        <v/>
      </c>
      <c r="K349" s="13">
        <f>IF(N($D349)=0,"",N($E349)/$D349)</f>
        <v/>
      </c>
    </row>
    <row r="350">
      <c r="A350" s="8" t="n"/>
      <c r="B350" s="7" t="n"/>
      <c r="C350" s="10" t="n"/>
      <c r="D350" s="11" t="n"/>
      <c r="E350" s="11" t="n"/>
      <c r="F350" s="11" t="n"/>
      <c r="G350" s="12">
        <f>IF($B350="","",IFERROR(INDEX('商品'!$C$4:$C$18,MATCH($B350,'商品'!$A$4:$A$18,0)),""))</f>
        <v/>
      </c>
      <c r="H350" s="12">
        <f>IF(OR($B350="",$G350=""),"",$G350*(N($D350)-N($F350)))</f>
        <v/>
      </c>
      <c r="I350" s="12">
        <f>IF($H350="","",$H350*'設定'!$C$4)</f>
        <v/>
      </c>
      <c r="J350" s="13">
        <f>IF(N($C350)=0,"",N($D350)/$C350)</f>
        <v/>
      </c>
      <c r="K350" s="13">
        <f>IF(N($D350)=0,"",N($E350)/$D350)</f>
        <v/>
      </c>
    </row>
    <row r="351">
      <c r="A351" s="8" t="n"/>
      <c r="B351" s="7" t="n"/>
      <c r="C351" s="10" t="n"/>
      <c r="D351" s="11" t="n"/>
      <c r="E351" s="11" t="n"/>
      <c r="F351" s="11" t="n"/>
      <c r="G351" s="12">
        <f>IF($B351="","",IFERROR(INDEX('商品'!$C$4:$C$18,MATCH($B351,'商品'!$A$4:$A$18,0)),""))</f>
        <v/>
      </c>
      <c r="H351" s="12">
        <f>IF(OR($B351="",$G351=""),"",$G351*(N($D351)-N($F351)))</f>
        <v/>
      </c>
      <c r="I351" s="12">
        <f>IF($H351="","",$H351*'設定'!$C$4)</f>
        <v/>
      </c>
      <c r="J351" s="13">
        <f>IF(N($C351)=0,"",N($D351)/$C351)</f>
        <v/>
      </c>
      <c r="K351" s="13">
        <f>IF(N($D351)=0,"",N($E351)/$D351)</f>
        <v/>
      </c>
    </row>
    <row r="352">
      <c r="A352" s="8" t="n"/>
      <c r="B352" s="7" t="n"/>
      <c r="C352" s="10" t="n"/>
      <c r="D352" s="11" t="n"/>
      <c r="E352" s="11" t="n"/>
      <c r="F352" s="11" t="n"/>
      <c r="G352" s="12">
        <f>IF($B352="","",IFERROR(INDEX('商品'!$C$4:$C$18,MATCH($B352,'商品'!$A$4:$A$18,0)),""))</f>
        <v/>
      </c>
      <c r="H352" s="12">
        <f>IF(OR($B352="",$G352=""),"",$G352*(N($D352)-N($F352)))</f>
        <v/>
      </c>
      <c r="I352" s="12">
        <f>IF($H352="","",$H352*'設定'!$C$4)</f>
        <v/>
      </c>
      <c r="J352" s="13">
        <f>IF(N($C352)=0,"",N($D352)/$C352)</f>
        <v/>
      </c>
      <c r="K352" s="13">
        <f>IF(N($D352)=0,"",N($E352)/$D352)</f>
        <v/>
      </c>
    </row>
    <row r="353">
      <c r="A353" s="8" t="n"/>
      <c r="B353" s="7" t="n"/>
      <c r="C353" s="10" t="n"/>
      <c r="D353" s="11" t="n"/>
      <c r="E353" s="11" t="n"/>
      <c r="F353" s="11" t="n"/>
      <c r="G353" s="12">
        <f>IF($B353="","",IFERROR(INDEX('商品'!$C$4:$C$18,MATCH($B353,'商品'!$A$4:$A$18,0)),""))</f>
        <v/>
      </c>
      <c r="H353" s="12">
        <f>IF(OR($B353="",$G353=""),"",$G353*(N($D353)-N($F353)))</f>
        <v/>
      </c>
      <c r="I353" s="12">
        <f>IF($H353="","",$H353*'設定'!$C$4)</f>
        <v/>
      </c>
      <c r="J353" s="13">
        <f>IF(N($C353)=0,"",N($D353)/$C353)</f>
        <v/>
      </c>
      <c r="K353" s="13">
        <f>IF(N($D353)=0,"",N($E353)/$D353)</f>
        <v/>
      </c>
    </row>
    <row r="354">
      <c r="A354" s="8" t="n"/>
      <c r="B354" s="7" t="n"/>
      <c r="C354" s="10" t="n"/>
      <c r="D354" s="11" t="n"/>
      <c r="E354" s="11" t="n"/>
      <c r="F354" s="11" t="n"/>
      <c r="G354" s="12">
        <f>IF($B354="","",IFERROR(INDEX('商品'!$C$4:$C$18,MATCH($B354,'商品'!$A$4:$A$18,0)),""))</f>
        <v/>
      </c>
      <c r="H354" s="12">
        <f>IF(OR($B354="",$G354=""),"",$G354*(N($D354)-N($F354)))</f>
        <v/>
      </c>
      <c r="I354" s="12">
        <f>IF($H354="","",$H354*'設定'!$C$4)</f>
        <v/>
      </c>
      <c r="J354" s="13">
        <f>IF(N($C354)=0,"",N($D354)/$C354)</f>
        <v/>
      </c>
      <c r="K354" s="13">
        <f>IF(N($D354)=0,"",N($E354)/$D354)</f>
        <v/>
      </c>
    </row>
    <row r="355">
      <c r="A355" s="8" t="n"/>
      <c r="B355" s="7" t="n"/>
      <c r="C355" s="10" t="n"/>
      <c r="D355" s="11" t="n"/>
      <c r="E355" s="11" t="n"/>
      <c r="F355" s="11" t="n"/>
      <c r="G355" s="12">
        <f>IF($B355="","",IFERROR(INDEX('商品'!$C$4:$C$18,MATCH($B355,'商品'!$A$4:$A$18,0)),""))</f>
        <v/>
      </c>
      <c r="H355" s="12">
        <f>IF(OR($B355="",$G355=""),"",$G355*(N($D355)-N($F355)))</f>
        <v/>
      </c>
      <c r="I355" s="12">
        <f>IF($H355="","",$H355*'設定'!$C$4)</f>
        <v/>
      </c>
      <c r="J355" s="13">
        <f>IF(N($C355)=0,"",N($D355)/$C355)</f>
        <v/>
      </c>
      <c r="K355" s="13">
        <f>IF(N($D355)=0,"",N($E355)/$D355)</f>
        <v/>
      </c>
    </row>
    <row r="356">
      <c r="A356" s="8" t="n"/>
      <c r="B356" s="7" t="n"/>
      <c r="C356" s="10" t="n"/>
      <c r="D356" s="11" t="n"/>
      <c r="E356" s="11" t="n"/>
      <c r="F356" s="11" t="n"/>
      <c r="G356" s="12">
        <f>IF($B356="","",IFERROR(INDEX('商品'!$C$4:$C$18,MATCH($B356,'商品'!$A$4:$A$18,0)),""))</f>
        <v/>
      </c>
      <c r="H356" s="12">
        <f>IF(OR($B356="",$G356=""),"",$G356*(N($D356)-N($F356)))</f>
        <v/>
      </c>
      <c r="I356" s="12">
        <f>IF($H356="","",$H356*'設定'!$C$4)</f>
        <v/>
      </c>
      <c r="J356" s="13">
        <f>IF(N($C356)=0,"",N($D356)/$C356)</f>
        <v/>
      </c>
      <c r="K356" s="13">
        <f>IF(N($D356)=0,"",N($E356)/$D356)</f>
        <v/>
      </c>
    </row>
    <row r="357">
      <c r="A357" s="8" t="n"/>
      <c r="B357" s="7" t="n"/>
      <c r="C357" s="10" t="n"/>
      <c r="D357" s="11" t="n"/>
      <c r="E357" s="11" t="n"/>
      <c r="F357" s="11" t="n"/>
      <c r="G357" s="12">
        <f>IF($B357="","",IFERROR(INDEX('商品'!$C$4:$C$18,MATCH($B357,'商品'!$A$4:$A$18,0)),""))</f>
        <v/>
      </c>
      <c r="H357" s="12">
        <f>IF(OR($B357="",$G357=""),"",$G357*(N($D357)-N($F357)))</f>
        <v/>
      </c>
      <c r="I357" s="12">
        <f>IF($H357="","",$H357*'設定'!$C$4)</f>
        <v/>
      </c>
      <c r="J357" s="13">
        <f>IF(N($C357)=0,"",N($D357)/$C357)</f>
        <v/>
      </c>
      <c r="K357" s="13">
        <f>IF(N($D357)=0,"",N($E357)/$D357)</f>
        <v/>
      </c>
    </row>
    <row r="358">
      <c r="A358" s="8" t="n"/>
      <c r="B358" s="7" t="n"/>
      <c r="C358" s="10" t="n"/>
      <c r="D358" s="11" t="n"/>
      <c r="E358" s="11" t="n"/>
      <c r="F358" s="11" t="n"/>
      <c r="G358" s="12">
        <f>IF($B358="","",IFERROR(INDEX('商品'!$C$4:$C$18,MATCH($B358,'商品'!$A$4:$A$18,0)),""))</f>
        <v/>
      </c>
      <c r="H358" s="12">
        <f>IF(OR($B358="",$G358=""),"",$G358*(N($D358)-N($F358)))</f>
        <v/>
      </c>
      <c r="I358" s="12">
        <f>IF($H358="","",$H358*'設定'!$C$4)</f>
        <v/>
      </c>
      <c r="J358" s="13">
        <f>IF(N($C358)=0,"",N($D358)/$C358)</f>
        <v/>
      </c>
      <c r="K358" s="13">
        <f>IF(N($D358)=0,"",N($E358)/$D358)</f>
        <v/>
      </c>
    </row>
    <row r="359">
      <c r="A359" s="8" t="n"/>
      <c r="B359" s="7" t="n"/>
      <c r="C359" s="10" t="n"/>
      <c r="D359" s="11" t="n"/>
      <c r="E359" s="11" t="n"/>
      <c r="F359" s="11" t="n"/>
      <c r="G359" s="12">
        <f>IF($B359="","",IFERROR(INDEX('商品'!$C$4:$C$18,MATCH($B359,'商品'!$A$4:$A$18,0)),""))</f>
        <v/>
      </c>
      <c r="H359" s="12">
        <f>IF(OR($B359="",$G359=""),"",$G359*(N($D359)-N($F359)))</f>
        <v/>
      </c>
      <c r="I359" s="12">
        <f>IF($H359="","",$H359*'設定'!$C$4)</f>
        <v/>
      </c>
      <c r="J359" s="13">
        <f>IF(N($C359)=0,"",N($D359)/$C359)</f>
        <v/>
      </c>
      <c r="K359" s="13">
        <f>IF(N($D359)=0,"",N($E359)/$D359)</f>
        <v/>
      </c>
    </row>
    <row r="360">
      <c r="A360" s="8" t="n"/>
      <c r="B360" s="7" t="n"/>
      <c r="C360" s="10" t="n"/>
      <c r="D360" s="11" t="n"/>
      <c r="E360" s="11" t="n"/>
      <c r="F360" s="11" t="n"/>
      <c r="G360" s="12">
        <f>IF($B360="","",IFERROR(INDEX('商品'!$C$4:$C$18,MATCH($B360,'商品'!$A$4:$A$18,0)),""))</f>
        <v/>
      </c>
      <c r="H360" s="12">
        <f>IF(OR($B360="",$G360=""),"",$G360*(N($D360)-N($F360)))</f>
        <v/>
      </c>
      <c r="I360" s="12">
        <f>IF($H360="","",$H360*'設定'!$C$4)</f>
        <v/>
      </c>
      <c r="J360" s="13">
        <f>IF(N($C360)=0,"",N($D360)/$C360)</f>
        <v/>
      </c>
      <c r="K360" s="13">
        <f>IF(N($D360)=0,"",N($E360)/$D360)</f>
        <v/>
      </c>
    </row>
    <row r="361">
      <c r="A361" s="8" t="n"/>
      <c r="B361" s="7" t="n"/>
      <c r="C361" s="10" t="n"/>
      <c r="D361" s="11" t="n"/>
      <c r="E361" s="11" t="n"/>
      <c r="F361" s="11" t="n"/>
      <c r="G361" s="12">
        <f>IF($B361="","",IFERROR(INDEX('商品'!$C$4:$C$18,MATCH($B361,'商品'!$A$4:$A$18,0)),""))</f>
        <v/>
      </c>
      <c r="H361" s="12">
        <f>IF(OR($B361="",$G361=""),"",$G361*(N($D361)-N($F361)))</f>
        <v/>
      </c>
      <c r="I361" s="12">
        <f>IF($H361="","",$H361*'設定'!$C$4)</f>
        <v/>
      </c>
      <c r="J361" s="13">
        <f>IF(N($C361)=0,"",N($D361)/$C361)</f>
        <v/>
      </c>
      <c r="K361" s="13">
        <f>IF(N($D361)=0,"",N($E361)/$D361)</f>
        <v/>
      </c>
    </row>
    <row r="362">
      <c r="A362" s="8" t="n"/>
      <c r="B362" s="7" t="n"/>
      <c r="C362" s="10" t="n"/>
      <c r="D362" s="11" t="n"/>
      <c r="E362" s="11" t="n"/>
      <c r="F362" s="11" t="n"/>
      <c r="G362" s="12">
        <f>IF($B362="","",IFERROR(INDEX('商品'!$C$4:$C$18,MATCH($B362,'商品'!$A$4:$A$18,0)),""))</f>
        <v/>
      </c>
      <c r="H362" s="12">
        <f>IF(OR($B362="",$G362=""),"",$G362*(N($D362)-N($F362)))</f>
        <v/>
      </c>
      <c r="I362" s="12">
        <f>IF($H362="","",$H362*'設定'!$C$4)</f>
        <v/>
      </c>
      <c r="J362" s="13">
        <f>IF(N($C362)=0,"",N($D362)/$C362)</f>
        <v/>
      </c>
      <c r="K362" s="13">
        <f>IF(N($D362)=0,"",N($E362)/$D362)</f>
        <v/>
      </c>
    </row>
    <row r="363">
      <c r="A363" s="8" t="n"/>
      <c r="B363" s="7" t="n"/>
      <c r="C363" s="10" t="n"/>
      <c r="D363" s="11" t="n"/>
      <c r="E363" s="11" t="n"/>
      <c r="F363" s="11" t="n"/>
      <c r="G363" s="12">
        <f>IF($B363="","",IFERROR(INDEX('商品'!$C$4:$C$18,MATCH($B363,'商品'!$A$4:$A$18,0)),""))</f>
        <v/>
      </c>
      <c r="H363" s="12">
        <f>IF(OR($B363="",$G363=""),"",$G363*(N($D363)-N($F363)))</f>
        <v/>
      </c>
      <c r="I363" s="12">
        <f>IF($H363="","",$H363*'設定'!$C$4)</f>
        <v/>
      </c>
      <c r="J363" s="13">
        <f>IF(N($C363)=0,"",N($D363)/$C363)</f>
        <v/>
      </c>
      <c r="K363" s="13">
        <f>IF(N($D363)=0,"",N($E363)/$D363)</f>
        <v/>
      </c>
    </row>
    <row r="364">
      <c r="A364" s="8" t="n"/>
      <c r="B364" s="7" t="n"/>
      <c r="C364" s="10" t="n"/>
      <c r="D364" s="11" t="n"/>
      <c r="E364" s="11" t="n"/>
      <c r="F364" s="11" t="n"/>
      <c r="G364" s="12">
        <f>IF($B364="","",IFERROR(INDEX('商品'!$C$4:$C$18,MATCH($B364,'商品'!$A$4:$A$18,0)),""))</f>
        <v/>
      </c>
      <c r="H364" s="12">
        <f>IF(OR($B364="",$G364=""),"",$G364*(N($D364)-N($F364)))</f>
        <v/>
      </c>
      <c r="I364" s="12">
        <f>IF($H364="","",$H364*'設定'!$C$4)</f>
        <v/>
      </c>
      <c r="J364" s="13">
        <f>IF(N($C364)=0,"",N($D364)/$C364)</f>
        <v/>
      </c>
      <c r="K364" s="13">
        <f>IF(N($D364)=0,"",N($E364)/$D364)</f>
        <v/>
      </c>
    </row>
    <row r="365">
      <c r="A365" s="8" t="n"/>
      <c r="B365" s="7" t="n"/>
      <c r="C365" s="10" t="n"/>
      <c r="D365" s="11" t="n"/>
      <c r="E365" s="11" t="n"/>
      <c r="F365" s="11" t="n"/>
      <c r="G365" s="12">
        <f>IF($B365="","",IFERROR(INDEX('商品'!$C$4:$C$18,MATCH($B365,'商品'!$A$4:$A$18,0)),""))</f>
        <v/>
      </c>
      <c r="H365" s="12">
        <f>IF(OR($B365="",$G365=""),"",$G365*(N($D365)-N($F365)))</f>
        <v/>
      </c>
      <c r="I365" s="12">
        <f>IF($H365="","",$H365*'設定'!$C$4)</f>
        <v/>
      </c>
      <c r="J365" s="13">
        <f>IF(N($C365)=0,"",N($D365)/$C365)</f>
        <v/>
      </c>
      <c r="K365" s="13">
        <f>IF(N($D365)=0,"",N($E365)/$D365)</f>
        <v/>
      </c>
    </row>
    <row r="366">
      <c r="A366" s="8" t="n"/>
      <c r="B366" s="7" t="n"/>
      <c r="C366" s="10" t="n"/>
      <c r="D366" s="11" t="n"/>
      <c r="E366" s="11" t="n"/>
      <c r="F366" s="11" t="n"/>
      <c r="G366" s="12">
        <f>IF($B366="","",IFERROR(INDEX('商品'!$C$4:$C$18,MATCH($B366,'商品'!$A$4:$A$18,0)),""))</f>
        <v/>
      </c>
      <c r="H366" s="12">
        <f>IF(OR($B366="",$G366=""),"",$G366*(N($D366)-N($F366)))</f>
        <v/>
      </c>
      <c r="I366" s="12">
        <f>IF($H366="","",$H366*'設定'!$C$4)</f>
        <v/>
      </c>
      <c r="J366" s="13">
        <f>IF(N($C366)=0,"",N($D366)/$C366)</f>
        <v/>
      </c>
      <c r="K366" s="13">
        <f>IF(N($D366)=0,"",N($E366)/$D366)</f>
        <v/>
      </c>
    </row>
    <row r="367">
      <c r="A367" s="8" t="n"/>
      <c r="B367" s="7" t="n"/>
      <c r="C367" s="10" t="n"/>
      <c r="D367" s="11" t="n"/>
      <c r="E367" s="11" t="n"/>
      <c r="F367" s="11" t="n"/>
      <c r="G367" s="12">
        <f>IF($B367="","",IFERROR(INDEX('商品'!$C$4:$C$18,MATCH($B367,'商品'!$A$4:$A$18,0)),""))</f>
        <v/>
      </c>
      <c r="H367" s="12">
        <f>IF(OR($B367="",$G367=""),"",$G367*(N($D367)-N($F367)))</f>
        <v/>
      </c>
      <c r="I367" s="12">
        <f>IF($H367="","",$H367*'設定'!$C$4)</f>
        <v/>
      </c>
      <c r="J367" s="13">
        <f>IF(N($C367)=0,"",N($D367)/$C367)</f>
        <v/>
      </c>
      <c r="K367" s="13">
        <f>IF(N($D367)=0,"",N($E367)/$D367)</f>
        <v/>
      </c>
    </row>
    <row r="368">
      <c r="A368" s="8" t="n"/>
      <c r="B368" s="7" t="n"/>
      <c r="C368" s="10" t="n"/>
      <c r="D368" s="11" t="n"/>
      <c r="E368" s="11" t="n"/>
      <c r="F368" s="11" t="n"/>
      <c r="G368" s="12">
        <f>IF($B368="","",IFERROR(INDEX('商品'!$C$4:$C$18,MATCH($B368,'商品'!$A$4:$A$18,0)),""))</f>
        <v/>
      </c>
      <c r="H368" s="12">
        <f>IF(OR($B368="",$G368=""),"",$G368*(N($D368)-N($F368)))</f>
        <v/>
      </c>
      <c r="I368" s="12">
        <f>IF($H368="","",$H368*'設定'!$C$4)</f>
        <v/>
      </c>
      <c r="J368" s="13">
        <f>IF(N($C368)=0,"",N($D368)/$C368)</f>
        <v/>
      </c>
      <c r="K368" s="13">
        <f>IF(N($D368)=0,"",N($E368)/$D368)</f>
        <v/>
      </c>
    </row>
    <row r="369">
      <c r="A369" s="8" t="n"/>
      <c r="B369" s="7" t="n"/>
      <c r="C369" s="10" t="n"/>
      <c r="D369" s="11" t="n"/>
      <c r="E369" s="11" t="n"/>
      <c r="F369" s="11" t="n"/>
      <c r="G369" s="12">
        <f>IF($B369="","",IFERROR(INDEX('商品'!$C$4:$C$18,MATCH($B369,'商品'!$A$4:$A$18,0)),""))</f>
        <v/>
      </c>
      <c r="H369" s="12">
        <f>IF(OR($B369="",$G369=""),"",$G369*(N($D369)-N($F369)))</f>
        <v/>
      </c>
      <c r="I369" s="12">
        <f>IF($H369="","",$H369*'設定'!$C$4)</f>
        <v/>
      </c>
      <c r="J369" s="13">
        <f>IF(N($C369)=0,"",N($D369)/$C369)</f>
        <v/>
      </c>
      <c r="K369" s="13">
        <f>IF(N($D369)=0,"",N($E369)/$D369)</f>
        <v/>
      </c>
    </row>
    <row r="370">
      <c r="A370" s="8" t="n"/>
      <c r="B370" s="7" t="n"/>
      <c r="C370" s="10" t="n"/>
      <c r="D370" s="11" t="n"/>
      <c r="E370" s="11" t="n"/>
      <c r="F370" s="11" t="n"/>
      <c r="G370" s="12">
        <f>IF($B370="","",IFERROR(INDEX('商品'!$C$4:$C$18,MATCH($B370,'商品'!$A$4:$A$18,0)),""))</f>
        <v/>
      </c>
      <c r="H370" s="12">
        <f>IF(OR($B370="",$G370=""),"",$G370*(N($D370)-N($F370)))</f>
        <v/>
      </c>
      <c r="I370" s="12">
        <f>IF($H370="","",$H370*'設定'!$C$4)</f>
        <v/>
      </c>
      <c r="J370" s="13">
        <f>IF(N($C370)=0,"",N($D370)/$C370)</f>
        <v/>
      </c>
      <c r="K370" s="13">
        <f>IF(N($D370)=0,"",N($E370)/$D370)</f>
        <v/>
      </c>
    </row>
    <row r="371">
      <c r="A371" s="8" t="n"/>
      <c r="B371" s="7" t="n"/>
      <c r="C371" s="10" t="n"/>
      <c r="D371" s="11" t="n"/>
      <c r="E371" s="11" t="n"/>
      <c r="F371" s="11" t="n"/>
      <c r="G371" s="12">
        <f>IF($B371="","",IFERROR(INDEX('商品'!$C$4:$C$18,MATCH($B371,'商品'!$A$4:$A$18,0)),""))</f>
        <v/>
      </c>
      <c r="H371" s="12">
        <f>IF(OR($B371="",$G371=""),"",$G371*(N($D371)-N($F371)))</f>
        <v/>
      </c>
      <c r="I371" s="12">
        <f>IF($H371="","",$H371*'設定'!$C$4)</f>
        <v/>
      </c>
      <c r="J371" s="13">
        <f>IF(N($C371)=0,"",N($D371)/$C371)</f>
        <v/>
      </c>
      <c r="K371" s="13">
        <f>IF(N($D371)=0,"",N($E371)/$D371)</f>
        <v/>
      </c>
    </row>
    <row r="372">
      <c r="A372" s="8" t="n"/>
      <c r="B372" s="7" t="n"/>
      <c r="C372" s="10" t="n"/>
      <c r="D372" s="11" t="n"/>
      <c r="E372" s="11" t="n"/>
      <c r="F372" s="11" t="n"/>
      <c r="G372" s="12">
        <f>IF($B372="","",IFERROR(INDEX('商品'!$C$4:$C$18,MATCH($B372,'商品'!$A$4:$A$18,0)),""))</f>
        <v/>
      </c>
      <c r="H372" s="12">
        <f>IF(OR($B372="",$G372=""),"",$G372*(N($D372)-N($F372)))</f>
        <v/>
      </c>
      <c r="I372" s="12">
        <f>IF($H372="","",$H372*'設定'!$C$4)</f>
        <v/>
      </c>
      <c r="J372" s="13">
        <f>IF(N($C372)=0,"",N($D372)/$C372)</f>
        <v/>
      </c>
      <c r="K372" s="13">
        <f>IF(N($D372)=0,"",N($E372)/$D372)</f>
        <v/>
      </c>
    </row>
    <row r="373">
      <c r="A373" s="8" t="n"/>
      <c r="B373" s="7" t="n"/>
      <c r="C373" s="10" t="n"/>
      <c r="D373" s="11" t="n"/>
      <c r="E373" s="11" t="n"/>
      <c r="F373" s="11" t="n"/>
      <c r="G373" s="12">
        <f>IF($B373="","",IFERROR(INDEX('商品'!$C$4:$C$18,MATCH($B373,'商品'!$A$4:$A$18,0)),""))</f>
        <v/>
      </c>
      <c r="H373" s="12">
        <f>IF(OR($B373="",$G373=""),"",$G373*(N($D373)-N($F373)))</f>
        <v/>
      </c>
      <c r="I373" s="12">
        <f>IF($H373="","",$H373*'設定'!$C$4)</f>
        <v/>
      </c>
      <c r="J373" s="13">
        <f>IF(N($C373)=0,"",N($D373)/$C373)</f>
        <v/>
      </c>
      <c r="K373" s="13">
        <f>IF(N($D373)=0,"",N($E373)/$D373)</f>
        <v/>
      </c>
    </row>
    <row r="374">
      <c r="A374" s="8" t="n"/>
      <c r="B374" s="7" t="n"/>
      <c r="C374" s="10" t="n"/>
      <c r="D374" s="11" t="n"/>
      <c r="E374" s="11" t="n"/>
      <c r="F374" s="11" t="n"/>
      <c r="G374" s="12">
        <f>IF($B374="","",IFERROR(INDEX('商品'!$C$4:$C$18,MATCH($B374,'商品'!$A$4:$A$18,0)),""))</f>
        <v/>
      </c>
      <c r="H374" s="12">
        <f>IF(OR($B374="",$G374=""),"",$G374*(N($D374)-N($F374)))</f>
        <v/>
      </c>
      <c r="I374" s="12">
        <f>IF($H374="","",$H374*'設定'!$C$4)</f>
        <v/>
      </c>
      <c r="J374" s="13">
        <f>IF(N($C374)=0,"",N($D374)/$C374)</f>
        <v/>
      </c>
      <c r="K374" s="13">
        <f>IF(N($D374)=0,"",N($E374)/$D374)</f>
        <v/>
      </c>
    </row>
    <row r="375">
      <c r="A375" s="8" t="n"/>
      <c r="B375" s="7" t="n"/>
      <c r="C375" s="10" t="n"/>
      <c r="D375" s="11" t="n"/>
      <c r="E375" s="11" t="n"/>
      <c r="F375" s="11" t="n"/>
      <c r="G375" s="12">
        <f>IF($B375="","",IFERROR(INDEX('商品'!$C$4:$C$18,MATCH($B375,'商品'!$A$4:$A$18,0)),""))</f>
        <v/>
      </c>
      <c r="H375" s="12">
        <f>IF(OR($B375="",$G375=""),"",$G375*(N($D375)-N($F375)))</f>
        <v/>
      </c>
      <c r="I375" s="12">
        <f>IF($H375="","",$H375*'設定'!$C$4)</f>
        <v/>
      </c>
      <c r="J375" s="13">
        <f>IF(N($C375)=0,"",N($D375)/$C375)</f>
        <v/>
      </c>
      <c r="K375" s="13">
        <f>IF(N($D375)=0,"",N($E375)/$D375)</f>
        <v/>
      </c>
    </row>
    <row r="376">
      <c r="A376" s="8" t="n"/>
      <c r="B376" s="7" t="n"/>
      <c r="C376" s="10" t="n"/>
      <c r="D376" s="11" t="n"/>
      <c r="E376" s="11" t="n"/>
      <c r="F376" s="11" t="n"/>
      <c r="G376" s="12">
        <f>IF($B376="","",IFERROR(INDEX('商品'!$C$4:$C$18,MATCH($B376,'商品'!$A$4:$A$18,0)),""))</f>
        <v/>
      </c>
      <c r="H376" s="12">
        <f>IF(OR($B376="",$G376=""),"",$G376*(N($D376)-N($F376)))</f>
        <v/>
      </c>
      <c r="I376" s="12">
        <f>IF($H376="","",$H376*'設定'!$C$4)</f>
        <v/>
      </c>
      <c r="J376" s="13">
        <f>IF(N($C376)=0,"",N($D376)/$C376)</f>
        <v/>
      </c>
      <c r="K376" s="13">
        <f>IF(N($D376)=0,"",N($E376)/$D376)</f>
        <v/>
      </c>
    </row>
    <row r="377">
      <c r="A377" s="8" t="n"/>
      <c r="B377" s="7" t="n"/>
      <c r="C377" s="10" t="n"/>
      <c r="D377" s="11" t="n"/>
      <c r="E377" s="11" t="n"/>
      <c r="F377" s="11" t="n"/>
      <c r="G377" s="12">
        <f>IF($B377="","",IFERROR(INDEX('商品'!$C$4:$C$18,MATCH($B377,'商品'!$A$4:$A$18,0)),""))</f>
        <v/>
      </c>
      <c r="H377" s="12">
        <f>IF(OR($B377="",$G377=""),"",$G377*(N($D377)-N($F377)))</f>
        <v/>
      </c>
      <c r="I377" s="12">
        <f>IF($H377="","",$H377*'設定'!$C$4)</f>
        <v/>
      </c>
      <c r="J377" s="13">
        <f>IF(N($C377)=0,"",N($D377)/$C377)</f>
        <v/>
      </c>
      <c r="K377" s="13">
        <f>IF(N($D377)=0,"",N($E377)/$D377)</f>
        <v/>
      </c>
    </row>
    <row r="378">
      <c r="A378" s="8" t="n"/>
      <c r="B378" s="7" t="n"/>
      <c r="C378" s="10" t="n"/>
      <c r="D378" s="11" t="n"/>
      <c r="E378" s="11" t="n"/>
      <c r="F378" s="11" t="n"/>
      <c r="G378" s="12">
        <f>IF($B378="","",IFERROR(INDEX('商品'!$C$4:$C$18,MATCH($B378,'商品'!$A$4:$A$18,0)),""))</f>
        <v/>
      </c>
      <c r="H378" s="12">
        <f>IF(OR($B378="",$G378=""),"",$G378*(N($D378)-N($F378)))</f>
        <v/>
      </c>
      <c r="I378" s="12">
        <f>IF($H378="","",$H378*'設定'!$C$4)</f>
        <v/>
      </c>
      <c r="J378" s="13">
        <f>IF(N($C378)=0,"",N($D378)/$C378)</f>
        <v/>
      </c>
      <c r="K378" s="13">
        <f>IF(N($D378)=0,"",N($E378)/$D378)</f>
        <v/>
      </c>
    </row>
    <row r="379">
      <c r="A379" s="8" t="n"/>
      <c r="B379" s="7" t="n"/>
      <c r="C379" s="10" t="n"/>
      <c r="D379" s="11" t="n"/>
      <c r="E379" s="11" t="n"/>
      <c r="F379" s="11" t="n"/>
      <c r="G379" s="12">
        <f>IF($B379="","",IFERROR(INDEX('商品'!$C$4:$C$18,MATCH($B379,'商品'!$A$4:$A$18,0)),""))</f>
        <v/>
      </c>
      <c r="H379" s="12">
        <f>IF(OR($B379="",$G379=""),"",$G379*(N($D379)-N($F379)))</f>
        <v/>
      </c>
      <c r="I379" s="12">
        <f>IF($H379="","",$H379*'設定'!$C$4)</f>
        <v/>
      </c>
      <c r="J379" s="13">
        <f>IF(N($C379)=0,"",N($D379)/$C379)</f>
        <v/>
      </c>
      <c r="K379" s="13">
        <f>IF(N($D379)=0,"",N($E379)/$D379)</f>
        <v/>
      </c>
    </row>
    <row r="380">
      <c r="A380" s="8" t="n"/>
      <c r="B380" s="7" t="n"/>
      <c r="C380" s="10" t="n"/>
      <c r="D380" s="11" t="n"/>
      <c r="E380" s="11" t="n"/>
      <c r="F380" s="11" t="n"/>
      <c r="G380" s="12">
        <f>IF($B380="","",IFERROR(INDEX('商品'!$C$4:$C$18,MATCH($B380,'商品'!$A$4:$A$18,0)),""))</f>
        <v/>
      </c>
      <c r="H380" s="12">
        <f>IF(OR($B380="",$G380=""),"",$G380*(N($D380)-N($F380)))</f>
        <v/>
      </c>
      <c r="I380" s="12">
        <f>IF($H380="","",$H380*'設定'!$C$4)</f>
        <v/>
      </c>
      <c r="J380" s="13">
        <f>IF(N($C380)=0,"",N($D380)/$C380)</f>
        <v/>
      </c>
      <c r="K380" s="13">
        <f>IF(N($D380)=0,"",N($E380)/$D380)</f>
        <v/>
      </c>
    </row>
    <row r="381">
      <c r="A381" s="8" t="n"/>
      <c r="B381" s="7" t="n"/>
      <c r="C381" s="10" t="n"/>
      <c r="D381" s="11" t="n"/>
      <c r="E381" s="11" t="n"/>
      <c r="F381" s="11" t="n"/>
      <c r="G381" s="12">
        <f>IF($B381="","",IFERROR(INDEX('商品'!$C$4:$C$18,MATCH($B381,'商品'!$A$4:$A$18,0)),""))</f>
        <v/>
      </c>
      <c r="H381" s="12">
        <f>IF(OR($B381="",$G381=""),"",$G381*(N($D381)-N($F381)))</f>
        <v/>
      </c>
      <c r="I381" s="12">
        <f>IF($H381="","",$H381*'設定'!$C$4)</f>
        <v/>
      </c>
      <c r="J381" s="13">
        <f>IF(N($C381)=0,"",N($D381)/$C381)</f>
        <v/>
      </c>
      <c r="K381" s="13">
        <f>IF(N($D381)=0,"",N($E381)/$D381)</f>
        <v/>
      </c>
    </row>
    <row r="382">
      <c r="A382" s="8" t="n"/>
      <c r="B382" s="7" t="n"/>
      <c r="C382" s="10" t="n"/>
      <c r="D382" s="11" t="n"/>
      <c r="E382" s="11" t="n"/>
      <c r="F382" s="11" t="n"/>
      <c r="G382" s="12">
        <f>IF($B382="","",IFERROR(INDEX('商品'!$C$4:$C$18,MATCH($B382,'商品'!$A$4:$A$18,0)),""))</f>
        <v/>
      </c>
      <c r="H382" s="12">
        <f>IF(OR($B382="",$G382=""),"",$G382*(N($D382)-N($F382)))</f>
        <v/>
      </c>
      <c r="I382" s="12">
        <f>IF($H382="","",$H382*'設定'!$C$4)</f>
        <v/>
      </c>
      <c r="J382" s="13">
        <f>IF(N($C382)=0,"",N($D382)/$C382)</f>
        <v/>
      </c>
      <c r="K382" s="13">
        <f>IF(N($D382)=0,"",N($E382)/$D382)</f>
        <v/>
      </c>
    </row>
    <row r="383">
      <c r="A383" s="8" t="n"/>
      <c r="B383" s="7" t="n"/>
      <c r="C383" s="10" t="n"/>
      <c r="D383" s="11" t="n"/>
      <c r="E383" s="11" t="n"/>
      <c r="F383" s="11" t="n"/>
      <c r="G383" s="12">
        <f>IF($B383="","",IFERROR(INDEX('商品'!$C$4:$C$18,MATCH($B383,'商品'!$A$4:$A$18,0)),""))</f>
        <v/>
      </c>
      <c r="H383" s="12">
        <f>IF(OR($B383="",$G383=""),"",$G383*(N($D383)-N($F383)))</f>
        <v/>
      </c>
      <c r="I383" s="12">
        <f>IF($H383="","",$H383*'設定'!$C$4)</f>
        <v/>
      </c>
      <c r="J383" s="13">
        <f>IF(N($C383)=0,"",N($D383)/$C383)</f>
        <v/>
      </c>
      <c r="K383" s="13">
        <f>IF(N($D383)=0,"",N($E383)/$D383)</f>
        <v/>
      </c>
    </row>
    <row r="384">
      <c r="A384" s="8" t="n"/>
      <c r="B384" s="7" t="n"/>
      <c r="C384" s="10" t="n"/>
      <c r="D384" s="11" t="n"/>
      <c r="E384" s="11" t="n"/>
      <c r="F384" s="11" t="n"/>
      <c r="G384" s="12">
        <f>IF($B384="","",IFERROR(INDEX('商品'!$C$4:$C$18,MATCH($B384,'商品'!$A$4:$A$18,0)),""))</f>
        <v/>
      </c>
      <c r="H384" s="12">
        <f>IF(OR($B384="",$G384=""),"",$G384*(N($D384)-N($F384)))</f>
        <v/>
      </c>
      <c r="I384" s="12">
        <f>IF($H384="","",$H384*'設定'!$C$4)</f>
        <v/>
      </c>
      <c r="J384" s="13">
        <f>IF(N($C384)=0,"",N($D384)/$C384)</f>
        <v/>
      </c>
      <c r="K384" s="13">
        <f>IF(N($D384)=0,"",N($E384)/$D384)</f>
        <v/>
      </c>
    </row>
    <row r="385">
      <c r="A385" s="8" t="n"/>
      <c r="B385" s="7" t="n"/>
      <c r="C385" s="10" t="n"/>
      <c r="D385" s="11" t="n"/>
      <c r="E385" s="11" t="n"/>
      <c r="F385" s="11" t="n"/>
      <c r="G385" s="12">
        <f>IF($B385="","",IFERROR(INDEX('商品'!$C$4:$C$18,MATCH($B385,'商品'!$A$4:$A$18,0)),""))</f>
        <v/>
      </c>
      <c r="H385" s="12">
        <f>IF(OR($B385="",$G385=""),"",$G385*(N($D385)-N($F385)))</f>
        <v/>
      </c>
      <c r="I385" s="12">
        <f>IF($H385="","",$H385*'設定'!$C$4)</f>
        <v/>
      </c>
      <c r="J385" s="13">
        <f>IF(N($C385)=0,"",N($D385)/$C385)</f>
        <v/>
      </c>
      <c r="K385" s="13">
        <f>IF(N($D385)=0,"",N($E385)/$D385)</f>
        <v/>
      </c>
    </row>
    <row r="386">
      <c r="A386" s="8" t="n"/>
      <c r="B386" s="7" t="n"/>
      <c r="C386" s="10" t="n"/>
      <c r="D386" s="11" t="n"/>
      <c r="E386" s="11" t="n"/>
      <c r="F386" s="11" t="n"/>
      <c r="G386" s="12">
        <f>IF($B386="","",IFERROR(INDEX('商品'!$C$4:$C$18,MATCH($B386,'商品'!$A$4:$A$18,0)),""))</f>
        <v/>
      </c>
      <c r="H386" s="12">
        <f>IF(OR($B386="",$G386=""),"",$G386*(N($D386)-N($F386)))</f>
        <v/>
      </c>
      <c r="I386" s="12">
        <f>IF($H386="","",$H386*'設定'!$C$4)</f>
        <v/>
      </c>
      <c r="J386" s="13">
        <f>IF(N($C386)=0,"",N($D386)/$C386)</f>
        <v/>
      </c>
      <c r="K386" s="13">
        <f>IF(N($D386)=0,"",N($E386)/$D386)</f>
        <v/>
      </c>
    </row>
    <row r="387">
      <c r="A387" s="8" t="n"/>
      <c r="B387" s="7" t="n"/>
      <c r="C387" s="10" t="n"/>
      <c r="D387" s="11" t="n"/>
      <c r="E387" s="11" t="n"/>
      <c r="F387" s="11" t="n"/>
      <c r="G387" s="12">
        <f>IF($B387="","",IFERROR(INDEX('商品'!$C$4:$C$18,MATCH($B387,'商品'!$A$4:$A$18,0)),""))</f>
        <v/>
      </c>
      <c r="H387" s="12">
        <f>IF(OR($B387="",$G387=""),"",$G387*(N($D387)-N($F387)))</f>
        <v/>
      </c>
      <c r="I387" s="12">
        <f>IF($H387="","",$H387*'設定'!$C$4)</f>
        <v/>
      </c>
      <c r="J387" s="13">
        <f>IF(N($C387)=0,"",N($D387)/$C387)</f>
        <v/>
      </c>
      <c r="K387" s="13">
        <f>IF(N($D387)=0,"",N($E387)/$D387)</f>
        <v/>
      </c>
    </row>
    <row r="388">
      <c r="A388" s="8" t="n"/>
      <c r="B388" s="7" t="n"/>
      <c r="C388" s="10" t="n"/>
      <c r="D388" s="11" t="n"/>
      <c r="E388" s="11" t="n"/>
      <c r="F388" s="11" t="n"/>
      <c r="G388" s="12">
        <f>IF($B388="","",IFERROR(INDEX('商品'!$C$4:$C$18,MATCH($B388,'商品'!$A$4:$A$18,0)),""))</f>
        <v/>
      </c>
      <c r="H388" s="12">
        <f>IF(OR($B388="",$G388=""),"",$G388*(N($D388)-N($F388)))</f>
        <v/>
      </c>
      <c r="I388" s="12">
        <f>IF($H388="","",$H388*'設定'!$C$4)</f>
        <v/>
      </c>
      <c r="J388" s="13">
        <f>IF(N($C388)=0,"",N($D388)/$C388)</f>
        <v/>
      </c>
      <c r="K388" s="13">
        <f>IF(N($D388)=0,"",N($E388)/$D388)</f>
        <v/>
      </c>
    </row>
    <row r="389">
      <c r="A389" s="8" t="n"/>
      <c r="B389" s="7" t="n"/>
      <c r="C389" s="10" t="n"/>
      <c r="D389" s="11" t="n"/>
      <c r="E389" s="11" t="n"/>
      <c r="F389" s="11" t="n"/>
      <c r="G389" s="12">
        <f>IF($B389="","",IFERROR(INDEX('商品'!$C$4:$C$18,MATCH($B389,'商品'!$A$4:$A$18,0)),""))</f>
        <v/>
      </c>
      <c r="H389" s="12">
        <f>IF(OR($B389="",$G389=""),"",$G389*(N($D389)-N($F389)))</f>
        <v/>
      </c>
      <c r="I389" s="12">
        <f>IF($H389="","",$H389*'設定'!$C$4)</f>
        <v/>
      </c>
      <c r="J389" s="13">
        <f>IF(N($C389)=0,"",N($D389)/$C389)</f>
        <v/>
      </c>
      <c r="K389" s="13">
        <f>IF(N($D389)=0,"",N($E389)/$D389)</f>
        <v/>
      </c>
    </row>
    <row r="390">
      <c r="A390" s="8" t="n"/>
      <c r="B390" s="7" t="n"/>
      <c r="C390" s="10" t="n"/>
      <c r="D390" s="11" t="n"/>
      <c r="E390" s="11" t="n"/>
      <c r="F390" s="11" t="n"/>
      <c r="G390" s="12">
        <f>IF($B390="","",IFERROR(INDEX('商品'!$C$4:$C$18,MATCH($B390,'商品'!$A$4:$A$18,0)),""))</f>
        <v/>
      </c>
      <c r="H390" s="12">
        <f>IF(OR($B390="",$G390=""),"",$G390*(N($D390)-N($F390)))</f>
        <v/>
      </c>
      <c r="I390" s="12">
        <f>IF($H390="","",$H390*'設定'!$C$4)</f>
        <v/>
      </c>
      <c r="J390" s="13">
        <f>IF(N($C390)=0,"",N($D390)/$C390)</f>
        <v/>
      </c>
      <c r="K390" s="13">
        <f>IF(N($D390)=0,"",N($E390)/$D390)</f>
        <v/>
      </c>
    </row>
    <row r="391">
      <c r="A391" s="8" t="n"/>
      <c r="B391" s="7" t="n"/>
      <c r="C391" s="10" t="n"/>
      <c r="D391" s="11" t="n"/>
      <c r="E391" s="11" t="n"/>
      <c r="F391" s="11" t="n"/>
      <c r="G391" s="12">
        <f>IF($B391="","",IFERROR(INDEX('商品'!$C$4:$C$18,MATCH($B391,'商品'!$A$4:$A$18,0)),""))</f>
        <v/>
      </c>
      <c r="H391" s="12">
        <f>IF(OR($B391="",$G391=""),"",$G391*(N($D391)-N($F391)))</f>
        <v/>
      </c>
      <c r="I391" s="12">
        <f>IF($H391="","",$H391*'設定'!$C$4)</f>
        <v/>
      </c>
      <c r="J391" s="13">
        <f>IF(N($C391)=0,"",N($D391)/$C391)</f>
        <v/>
      </c>
      <c r="K391" s="13">
        <f>IF(N($D391)=0,"",N($E391)/$D391)</f>
        <v/>
      </c>
    </row>
    <row r="392">
      <c r="A392" s="8" t="n"/>
      <c r="B392" s="7" t="n"/>
      <c r="C392" s="10" t="n"/>
      <c r="D392" s="11" t="n"/>
      <c r="E392" s="11" t="n"/>
      <c r="F392" s="11" t="n"/>
      <c r="G392" s="12">
        <f>IF($B392="","",IFERROR(INDEX('商品'!$C$4:$C$18,MATCH($B392,'商品'!$A$4:$A$18,0)),""))</f>
        <v/>
      </c>
      <c r="H392" s="12">
        <f>IF(OR($B392="",$G392=""),"",$G392*(N($D392)-N($F392)))</f>
        <v/>
      </c>
      <c r="I392" s="12">
        <f>IF($H392="","",$H392*'設定'!$C$4)</f>
        <v/>
      </c>
      <c r="J392" s="13">
        <f>IF(N($C392)=0,"",N($D392)/$C392)</f>
        <v/>
      </c>
      <c r="K392" s="13">
        <f>IF(N($D392)=0,"",N($E392)/$D392)</f>
        <v/>
      </c>
    </row>
    <row r="393">
      <c r="A393" s="8" t="n"/>
      <c r="B393" s="7" t="n"/>
      <c r="C393" s="10" t="n"/>
      <c r="D393" s="11" t="n"/>
      <c r="E393" s="11" t="n"/>
      <c r="F393" s="11" t="n"/>
      <c r="G393" s="12">
        <f>IF($B393="","",IFERROR(INDEX('商品'!$C$4:$C$18,MATCH($B393,'商品'!$A$4:$A$18,0)),""))</f>
        <v/>
      </c>
      <c r="H393" s="12">
        <f>IF(OR($B393="",$G393=""),"",$G393*(N($D393)-N($F393)))</f>
        <v/>
      </c>
      <c r="I393" s="12">
        <f>IF($H393="","",$H393*'設定'!$C$4)</f>
        <v/>
      </c>
      <c r="J393" s="13">
        <f>IF(N($C393)=0,"",N($D393)/$C393)</f>
        <v/>
      </c>
      <c r="K393" s="13">
        <f>IF(N($D393)=0,"",N($E393)/$D393)</f>
        <v/>
      </c>
    </row>
    <row r="394">
      <c r="A394" s="8" t="n"/>
      <c r="B394" s="7" t="n"/>
      <c r="C394" s="10" t="n"/>
      <c r="D394" s="11" t="n"/>
      <c r="E394" s="11" t="n"/>
      <c r="F394" s="11" t="n"/>
      <c r="G394" s="12">
        <f>IF($B394="","",IFERROR(INDEX('商品'!$C$4:$C$18,MATCH($B394,'商品'!$A$4:$A$18,0)),""))</f>
        <v/>
      </c>
      <c r="H394" s="12">
        <f>IF(OR($B394="",$G394=""),"",$G394*(N($D394)-N($F394)))</f>
        <v/>
      </c>
      <c r="I394" s="12">
        <f>IF($H394="","",$H394*'設定'!$C$4)</f>
        <v/>
      </c>
      <c r="J394" s="13">
        <f>IF(N($C394)=0,"",N($D394)/$C394)</f>
        <v/>
      </c>
      <c r="K394" s="13">
        <f>IF(N($D394)=0,"",N($E394)/$D394)</f>
        <v/>
      </c>
    </row>
    <row r="395">
      <c r="A395" s="8" t="n"/>
      <c r="B395" s="7" t="n"/>
      <c r="C395" s="10" t="n"/>
      <c r="D395" s="11" t="n"/>
      <c r="E395" s="11" t="n"/>
      <c r="F395" s="11" t="n"/>
      <c r="G395" s="12">
        <f>IF($B395="","",IFERROR(INDEX('商品'!$C$4:$C$18,MATCH($B395,'商品'!$A$4:$A$18,0)),""))</f>
        <v/>
      </c>
      <c r="H395" s="12">
        <f>IF(OR($B395="",$G395=""),"",$G395*(N($D395)-N($F395)))</f>
        <v/>
      </c>
      <c r="I395" s="12">
        <f>IF($H395="","",$H395*'設定'!$C$4)</f>
        <v/>
      </c>
      <c r="J395" s="13">
        <f>IF(N($C395)=0,"",N($D395)/$C395)</f>
        <v/>
      </c>
      <c r="K395" s="13">
        <f>IF(N($D395)=0,"",N($E395)/$D395)</f>
        <v/>
      </c>
    </row>
    <row r="396">
      <c r="A396" s="8" t="n"/>
      <c r="B396" s="7" t="n"/>
      <c r="C396" s="10" t="n"/>
      <c r="D396" s="11" t="n"/>
      <c r="E396" s="11" t="n"/>
      <c r="F396" s="11" t="n"/>
      <c r="G396" s="12">
        <f>IF($B396="","",IFERROR(INDEX('商品'!$C$4:$C$18,MATCH($B396,'商品'!$A$4:$A$18,0)),""))</f>
        <v/>
      </c>
      <c r="H396" s="12">
        <f>IF(OR($B396="",$G396=""),"",$G396*(N($D396)-N($F396)))</f>
        <v/>
      </c>
      <c r="I396" s="12">
        <f>IF($H396="","",$H396*'設定'!$C$4)</f>
        <v/>
      </c>
      <c r="J396" s="13">
        <f>IF(N($C396)=0,"",N($D396)/$C396)</f>
        <v/>
      </c>
      <c r="K396" s="13">
        <f>IF(N($D396)=0,"",N($E396)/$D396)</f>
        <v/>
      </c>
    </row>
    <row r="397">
      <c r="A397" s="8" t="n"/>
      <c r="B397" s="7" t="n"/>
      <c r="C397" s="10" t="n"/>
      <c r="D397" s="11" t="n"/>
      <c r="E397" s="11" t="n"/>
      <c r="F397" s="11" t="n"/>
      <c r="G397" s="12">
        <f>IF($B397="","",IFERROR(INDEX('商品'!$C$4:$C$18,MATCH($B397,'商品'!$A$4:$A$18,0)),""))</f>
        <v/>
      </c>
      <c r="H397" s="12">
        <f>IF(OR($B397="",$G397=""),"",$G397*(N($D397)-N($F397)))</f>
        <v/>
      </c>
      <c r="I397" s="12">
        <f>IF($H397="","",$H397*'設定'!$C$4)</f>
        <v/>
      </c>
      <c r="J397" s="13">
        <f>IF(N($C397)=0,"",N($D397)/$C397)</f>
        <v/>
      </c>
      <c r="K397" s="13">
        <f>IF(N($D397)=0,"",N($E397)/$D397)</f>
        <v/>
      </c>
    </row>
    <row r="398">
      <c r="A398" s="8" t="n"/>
      <c r="B398" s="7" t="n"/>
      <c r="C398" s="10" t="n"/>
      <c r="D398" s="11" t="n"/>
      <c r="E398" s="11" t="n"/>
      <c r="F398" s="11" t="n"/>
      <c r="G398" s="12">
        <f>IF($B398="","",IFERROR(INDEX('商品'!$C$4:$C$18,MATCH($B398,'商品'!$A$4:$A$18,0)),""))</f>
        <v/>
      </c>
      <c r="H398" s="12">
        <f>IF(OR($B398="",$G398=""),"",$G398*(N($D398)-N($F398)))</f>
        <v/>
      </c>
      <c r="I398" s="12">
        <f>IF($H398="","",$H398*'設定'!$C$4)</f>
        <v/>
      </c>
      <c r="J398" s="13">
        <f>IF(N($C398)=0,"",N($D398)/$C398)</f>
        <v/>
      </c>
      <c r="K398" s="13">
        <f>IF(N($D398)=0,"",N($E398)/$D398)</f>
        <v/>
      </c>
    </row>
    <row r="399">
      <c r="A399" s="8" t="n"/>
      <c r="B399" s="7" t="n"/>
      <c r="C399" s="10" t="n"/>
      <c r="D399" s="11" t="n"/>
      <c r="E399" s="11" t="n"/>
      <c r="F399" s="11" t="n"/>
      <c r="G399" s="12">
        <f>IF($B399="","",IFERROR(INDEX('商品'!$C$4:$C$18,MATCH($B399,'商品'!$A$4:$A$18,0)),""))</f>
        <v/>
      </c>
      <c r="H399" s="12">
        <f>IF(OR($B399="",$G399=""),"",$G399*(N($D399)-N($F399)))</f>
        <v/>
      </c>
      <c r="I399" s="12">
        <f>IF($H399="","",$H399*'設定'!$C$4)</f>
        <v/>
      </c>
      <c r="J399" s="13">
        <f>IF(N($C399)=0,"",N($D399)/$C399)</f>
        <v/>
      </c>
      <c r="K399" s="13">
        <f>IF(N($D399)=0,"",N($E399)/$D399)</f>
        <v/>
      </c>
    </row>
    <row r="400">
      <c r="A400" s="8" t="n"/>
      <c r="B400" s="7" t="n"/>
      <c r="C400" s="10" t="n"/>
      <c r="D400" s="11" t="n"/>
      <c r="E400" s="11" t="n"/>
      <c r="F400" s="11" t="n"/>
      <c r="G400" s="12">
        <f>IF($B400="","",IFERROR(INDEX('商品'!$C$4:$C$18,MATCH($B400,'商品'!$A$4:$A$18,0)),""))</f>
        <v/>
      </c>
      <c r="H400" s="12">
        <f>IF(OR($B400="",$G400=""),"",$G400*(N($D400)-N($F400)))</f>
        <v/>
      </c>
      <c r="I400" s="12">
        <f>IF($H400="","",$H400*'設定'!$C$4)</f>
        <v/>
      </c>
      <c r="J400" s="13">
        <f>IF(N($C400)=0,"",N($D400)/$C400)</f>
        <v/>
      </c>
      <c r="K400" s="13">
        <f>IF(N($D400)=0,"",N($E400)/$D400)</f>
        <v/>
      </c>
    </row>
    <row r="401">
      <c r="A401" s="8" t="n"/>
      <c r="B401" s="7" t="n"/>
      <c r="C401" s="10" t="n"/>
      <c r="D401" s="11" t="n"/>
      <c r="E401" s="11" t="n"/>
      <c r="F401" s="11" t="n"/>
      <c r="G401" s="12">
        <f>IF($B401="","",IFERROR(INDEX('商品'!$C$4:$C$18,MATCH($B401,'商品'!$A$4:$A$18,0)),""))</f>
        <v/>
      </c>
      <c r="H401" s="12">
        <f>IF(OR($B401="",$G401=""),"",$G401*(N($D401)-N($F401)))</f>
        <v/>
      </c>
      <c r="I401" s="12">
        <f>IF($H401="","",$H401*'設定'!$C$4)</f>
        <v/>
      </c>
      <c r="J401" s="13">
        <f>IF(N($C401)=0,"",N($D401)/$C401)</f>
        <v/>
      </c>
      <c r="K401" s="13">
        <f>IF(N($D401)=0,"",N($E401)/$D401)</f>
        <v/>
      </c>
    </row>
    <row r="402">
      <c r="A402" s="8" t="n"/>
      <c r="B402" s="7" t="n"/>
      <c r="C402" s="10" t="n"/>
      <c r="D402" s="11" t="n"/>
      <c r="E402" s="11" t="n"/>
      <c r="F402" s="11" t="n"/>
      <c r="G402" s="12">
        <f>IF($B402="","",IFERROR(INDEX('商品'!$C$4:$C$18,MATCH($B402,'商品'!$A$4:$A$18,0)),""))</f>
        <v/>
      </c>
      <c r="H402" s="12">
        <f>IF(OR($B402="",$G402=""),"",$G402*(N($D402)-N($F402)))</f>
        <v/>
      </c>
      <c r="I402" s="12">
        <f>IF($H402="","",$H402*'設定'!$C$4)</f>
        <v/>
      </c>
      <c r="J402" s="13">
        <f>IF(N($C402)=0,"",N($D402)/$C402)</f>
        <v/>
      </c>
      <c r="K402" s="13">
        <f>IF(N($D402)=0,"",N($E402)/$D402)</f>
        <v/>
      </c>
    </row>
    <row r="403">
      <c r="A403" s="8" t="n"/>
      <c r="B403" s="7" t="n"/>
      <c r="C403" s="10" t="n"/>
      <c r="D403" s="11" t="n"/>
      <c r="E403" s="11" t="n"/>
      <c r="F403" s="11" t="n"/>
      <c r="G403" s="12">
        <f>IF($B403="","",IFERROR(INDEX('商品'!$C$4:$C$18,MATCH($B403,'商品'!$A$4:$A$18,0)),""))</f>
        <v/>
      </c>
      <c r="H403" s="12">
        <f>IF(OR($B403="",$G403=""),"",$G403*(N($D403)-N($F403)))</f>
        <v/>
      </c>
      <c r="I403" s="12">
        <f>IF($H403="","",$H403*'設定'!$C$4)</f>
        <v/>
      </c>
      <c r="J403" s="13">
        <f>IF(N($C403)=0,"",N($D403)/$C403)</f>
        <v/>
      </c>
      <c r="K403" s="13">
        <f>IF(N($D403)=0,"",N($E403)/$D403)</f>
        <v/>
      </c>
    </row>
    <row r="404">
      <c r="A404" s="8" t="n"/>
      <c r="B404" s="7" t="n"/>
      <c r="C404" s="10" t="n"/>
      <c r="D404" s="11" t="n"/>
      <c r="E404" s="11" t="n"/>
      <c r="F404" s="11" t="n"/>
      <c r="G404" s="12">
        <f>IF($B404="","",IFERROR(INDEX('商品'!$C$4:$C$18,MATCH($B404,'商品'!$A$4:$A$18,0)),""))</f>
        <v/>
      </c>
      <c r="H404" s="12">
        <f>IF(OR($B404="",$G404=""),"",$G404*(N($D404)-N($F404)))</f>
        <v/>
      </c>
      <c r="I404" s="12">
        <f>IF($H404="","",$H404*'設定'!$C$4)</f>
        <v/>
      </c>
      <c r="J404" s="13">
        <f>IF(N($C404)=0,"",N($D404)/$C404)</f>
        <v/>
      </c>
      <c r="K404" s="13">
        <f>IF(N($D404)=0,"",N($E404)/$D404)</f>
        <v/>
      </c>
    </row>
    <row r="405">
      <c r="A405" s="8" t="n"/>
      <c r="B405" s="7" t="n"/>
      <c r="C405" s="10" t="n"/>
      <c r="D405" s="11" t="n"/>
      <c r="E405" s="11" t="n"/>
      <c r="F405" s="11" t="n"/>
      <c r="G405" s="12">
        <f>IF($B405="","",IFERROR(INDEX('商品'!$C$4:$C$18,MATCH($B405,'商品'!$A$4:$A$18,0)),""))</f>
        <v/>
      </c>
      <c r="H405" s="12">
        <f>IF(OR($B405="",$G405=""),"",$G405*(N($D405)-N($F405)))</f>
        <v/>
      </c>
      <c r="I405" s="12">
        <f>IF($H405="","",$H405*'設定'!$C$4)</f>
        <v/>
      </c>
      <c r="J405" s="13">
        <f>IF(N($C405)=0,"",N($D405)/$C405)</f>
        <v/>
      </c>
      <c r="K405" s="13">
        <f>IF(N($D405)=0,"",N($E405)/$D405)</f>
        <v/>
      </c>
    </row>
    <row r="406">
      <c r="A406" s="8" t="n"/>
      <c r="B406" s="7" t="n"/>
      <c r="C406" s="10" t="n"/>
      <c r="D406" s="11" t="n"/>
      <c r="E406" s="11" t="n"/>
      <c r="F406" s="11" t="n"/>
      <c r="G406" s="12">
        <f>IF($B406="","",IFERROR(INDEX('商品'!$C$4:$C$18,MATCH($B406,'商品'!$A$4:$A$18,0)),""))</f>
        <v/>
      </c>
      <c r="H406" s="12">
        <f>IF(OR($B406="",$G406=""),"",$G406*(N($D406)-N($F406)))</f>
        <v/>
      </c>
      <c r="I406" s="12">
        <f>IF($H406="","",$H406*'設定'!$C$4)</f>
        <v/>
      </c>
      <c r="J406" s="13">
        <f>IF(N($C406)=0,"",N($D406)/$C406)</f>
        <v/>
      </c>
      <c r="K406" s="13">
        <f>IF(N($D406)=0,"",N($E406)/$D406)</f>
        <v/>
      </c>
    </row>
    <row r="407">
      <c r="A407" s="8" t="n"/>
      <c r="B407" s="7" t="n"/>
      <c r="C407" s="10" t="n"/>
      <c r="D407" s="11" t="n"/>
      <c r="E407" s="11" t="n"/>
      <c r="F407" s="11" t="n"/>
      <c r="G407" s="12">
        <f>IF($B407="","",IFERROR(INDEX('商品'!$C$4:$C$18,MATCH($B407,'商品'!$A$4:$A$18,0)),""))</f>
        <v/>
      </c>
      <c r="H407" s="12">
        <f>IF(OR($B407="",$G407=""),"",$G407*(N($D407)-N($F407)))</f>
        <v/>
      </c>
      <c r="I407" s="12">
        <f>IF($H407="","",$H407*'設定'!$C$4)</f>
        <v/>
      </c>
      <c r="J407" s="13">
        <f>IF(N($C407)=0,"",N($D407)/$C407)</f>
        <v/>
      </c>
      <c r="K407" s="13">
        <f>IF(N($D407)=0,"",N($E407)/$D407)</f>
        <v/>
      </c>
    </row>
    <row r="408">
      <c r="A408" s="8" t="n"/>
      <c r="B408" s="7" t="n"/>
      <c r="C408" s="10" t="n"/>
      <c r="D408" s="11" t="n"/>
      <c r="E408" s="11" t="n"/>
      <c r="F408" s="11" t="n"/>
      <c r="G408" s="12">
        <f>IF($B408="","",IFERROR(INDEX('商品'!$C$4:$C$18,MATCH($B408,'商品'!$A$4:$A$18,0)),""))</f>
        <v/>
      </c>
      <c r="H408" s="12">
        <f>IF(OR($B408="",$G408=""),"",$G408*(N($D408)-N($F408)))</f>
        <v/>
      </c>
      <c r="I408" s="12">
        <f>IF($H408="","",$H408*'設定'!$C$4)</f>
        <v/>
      </c>
      <c r="J408" s="13">
        <f>IF(N($C408)=0,"",N($D408)/$C408)</f>
        <v/>
      </c>
      <c r="K408" s="13">
        <f>IF(N($D408)=0,"",N($E408)/$D408)</f>
        <v/>
      </c>
    </row>
    <row r="409">
      <c r="A409" s="8" t="n"/>
      <c r="B409" s="7" t="n"/>
      <c r="C409" s="10" t="n"/>
      <c r="D409" s="11" t="n"/>
      <c r="E409" s="11" t="n"/>
      <c r="F409" s="11" t="n"/>
      <c r="G409" s="12">
        <f>IF($B409="","",IFERROR(INDEX('商品'!$C$4:$C$18,MATCH($B409,'商品'!$A$4:$A$18,0)),""))</f>
        <v/>
      </c>
      <c r="H409" s="12">
        <f>IF(OR($B409="",$G409=""),"",$G409*(N($D409)-N($F409)))</f>
        <v/>
      </c>
      <c r="I409" s="12">
        <f>IF($H409="","",$H409*'設定'!$C$4)</f>
        <v/>
      </c>
      <c r="J409" s="13">
        <f>IF(N($C409)=0,"",N($D409)/$C409)</f>
        <v/>
      </c>
      <c r="K409" s="13">
        <f>IF(N($D409)=0,"",N($E409)/$D409)</f>
        <v/>
      </c>
    </row>
    <row r="410">
      <c r="A410" s="8" t="n"/>
      <c r="B410" s="7" t="n"/>
      <c r="C410" s="10" t="n"/>
      <c r="D410" s="11" t="n"/>
      <c r="E410" s="11" t="n"/>
      <c r="F410" s="11" t="n"/>
      <c r="G410" s="12">
        <f>IF($B410="","",IFERROR(INDEX('商品'!$C$4:$C$18,MATCH($B410,'商品'!$A$4:$A$18,0)),""))</f>
        <v/>
      </c>
      <c r="H410" s="12">
        <f>IF(OR($B410="",$G410=""),"",$G410*(N($D410)-N($F410)))</f>
        <v/>
      </c>
      <c r="I410" s="12">
        <f>IF($H410="","",$H410*'設定'!$C$4)</f>
        <v/>
      </c>
      <c r="J410" s="13">
        <f>IF(N($C410)=0,"",N($D410)/$C410)</f>
        <v/>
      </c>
      <c r="K410" s="13">
        <f>IF(N($D410)=0,"",N($E410)/$D410)</f>
        <v/>
      </c>
    </row>
    <row r="411">
      <c r="A411" s="8" t="n"/>
      <c r="B411" s="7" t="n"/>
      <c r="C411" s="10" t="n"/>
      <c r="D411" s="11" t="n"/>
      <c r="E411" s="11" t="n"/>
      <c r="F411" s="11" t="n"/>
      <c r="G411" s="12">
        <f>IF($B411="","",IFERROR(INDEX('商品'!$C$4:$C$18,MATCH($B411,'商品'!$A$4:$A$18,0)),""))</f>
        <v/>
      </c>
      <c r="H411" s="12">
        <f>IF(OR($B411="",$G411=""),"",$G411*(N($D411)-N($F411)))</f>
        <v/>
      </c>
      <c r="I411" s="12">
        <f>IF($H411="","",$H411*'設定'!$C$4)</f>
        <v/>
      </c>
      <c r="J411" s="13">
        <f>IF(N($C411)=0,"",N($D411)/$C411)</f>
        <v/>
      </c>
      <c r="K411" s="13">
        <f>IF(N($D411)=0,"",N($E411)/$D411)</f>
        <v/>
      </c>
    </row>
    <row r="412">
      <c r="A412" s="8" t="n"/>
      <c r="B412" s="7" t="n"/>
      <c r="C412" s="10" t="n"/>
      <c r="D412" s="11" t="n"/>
      <c r="E412" s="11" t="n"/>
      <c r="F412" s="11" t="n"/>
      <c r="G412" s="12">
        <f>IF($B412="","",IFERROR(INDEX('商品'!$C$4:$C$18,MATCH($B412,'商品'!$A$4:$A$18,0)),""))</f>
        <v/>
      </c>
      <c r="H412" s="12">
        <f>IF(OR($B412="",$G412=""),"",$G412*(N($D412)-N($F412)))</f>
        <v/>
      </c>
      <c r="I412" s="12">
        <f>IF($H412="","",$H412*'設定'!$C$4)</f>
        <v/>
      </c>
      <c r="J412" s="13">
        <f>IF(N($C412)=0,"",N($D412)/$C412)</f>
        <v/>
      </c>
      <c r="K412" s="13">
        <f>IF(N($D412)=0,"",N($E412)/$D412)</f>
        <v/>
      </c>
    </row>
    <row r="413">
      <c r="A413" s="8" t="n"/>
      <c r="B413" s="7" t="n"/>
      <c r="C413" s="10" t="n"/>
      <c r="D413" s="11" t="n"/>
      <c r="E413" s="11" t="n"/>
      <c r="F413" s="11" t="n"/>
      <c r="G413" s="12">
        <f>IF($B413="","",IFERROR(INDEX('商品'!$C$4:$C$18,MATCH($B413,'商品'!$A$4:$A$18,0)),""))</f>
        <v/>
      </c>
      <c r="H413" s="12">
        <f>IF(OR($B413="",$G413=""),"",$G413*(N($D413)-N($F413)))</f>
        <v/>
      </c>
      <c r="I413" s="12">
        <f>IF($H413="","",$H413*'設定'!$C$4)</f>
        <v/>
      </c>
      <c r="J413" s="13">
        <f>IF(N($C413)=0,"",N($D413)/$C413)</f>
        <v/>
      </c>
      <c r="K413" s="13">
        <f>IF(N($D413)=0,"",N($E413)/$D413)</f>
        <v/>
      </c>
    </row>
    <row r="414">
      <c r="A414" s="8" t="n"/>
      <c r="B414" s="7" t="n"/>
      <c r="C414" s="10" t="n"/>
      <c r="D414" s="11" t="n"/>
      <c r="E414" s="11" t="n"/>
      <c r="F414" s="11" t="n"/>
      <c r="G414" s="12">
        <f>IF($B414="","",IFERROR(INDEX('商品'!$C$4:$C$18,MATCH($B414,'商品'!$A$4:$A$18,0)),""))</f>
        <v/>
      </c>
      <c r="H414" s="12">
        <f>IF(OR($B414="",$G414=""),"",$G414*(N($D414)-N($F414)))</f>
        <v/>
      </c>
      <c r="I414" s="12">
        <f>IF($H414="","",$H414*'設定'!$C$4)</f>
        <v/>
      </c>
      <c r="J414" s="13">
        <f>IF(N($C414)=0,"",N($D414)/$C414)</f>
        <v/>
      </c>
      <c r="K414" s="13">
        <f>IF(N($D414)=0,"",N($E414)/$D414)</f>
        <v/>
      </c>
    </row>
    <row r="415">
      <c r="A415" s="8" t="n"/>
      <c r="B415" s="7" t="n"/>
      <c r="C415" s="10" t="n"/>
      <c r="D415" s="11" t="n"/>
      <c r="E415" s="11" t="n"/>
      <c r="F415" s="11" t="n"/>
      <c r="G415" s="12">
        <f>IF($B415="","",IFERROR(INDEX('商品'!$C$4:$C$18,MATCH($B415,'商品'!$A$4:$A$18,0)),""))</f>
        <v/>
      </c>
      <c r="H415" s="12">
        <f>IF(OR($B415="",$G415=""),"",$G415*(N($D415)-N($F415)))</f>
        <v/>
      </c>
      <c r="I415" s="12">
        <f>IF($H415="","",$H415*'設定'!$C$4)</f>
        <v/>
      </c>
      <c r="J415" s="13">
        <f>IF(N($C415)=0,"",N($D415)/$C415)</f>
        <v/>
      </c>
      <c r="K415" s="13">
        <f>IF(N($D415)=0,"",N($E415)/$D415)</f>
        <v/>
      </c>
    </row>
    <row r="416">
      <c r="A416" s="8" t="n"/>
      <c r="B416" s="7" t="n"/>
      <c r="C416" s="10" t="n"/>
      <c r="D416" s="11" t="n"/>
      <c r="E416" s="11" t="n"/>
      <c r="F416" s="11" t="n"/>
      <c r="G416" s="12">
        <f>IF($B416="","",IFERROR(INDEX('商品'!$C$4:$C$18,MATCH($B416,'商品'!$A$4:$A$18,0)),""))</f>
        <v/>
      </c>
      <c r="H416" s="12">
        <f>IF(OR($B416="",$G416=""),"",$G416*(N($D416)-N($F416)))</f>
        <v/>
      </c>
      <c r="I416" s="12">
        <f>IF($H416="","",$H416*'設定'!$C$4)</f>
        <v/>
      </c>
      <c r="J416" s="13">
        <f>IF(N($C416)=0,"",N($D416)/$C416)</f>
        <v/>
      </c>
      <c r="K416" s="13">
        <f>IF(N($D416)=0,"",N($E416)/$D416)</f>
        <v/>
      </c>
    </row>
    <row r="417">
      <c r="A417" s="8" t="n"/>
      <c r="B417" s="7" t="n"/>
      <c r="C417" s="10" t="n"/>
      <c r="D417" s="11" t="n"/>
      <c r="E417" s="11" t="n"/>
      <c r="F417" s="11" t="n"/>
      <c r="G417" s="12">
        <f>IF($B417="","",IFERROR(INDEX('商品'!$C$4:$C$18,MATCH($B417,'商品'!$A$4:$A$18,0)),""))</f>
        <v/>
      </c>
      <c r="H417" s="12">
        <f>IF(OR($B417="",$G417=""),"",$G417*(N($D417)-N($F417)))</f>
        <v/>
      </c>
      <c r="I417" s="12">
        <f>IF($H417="","",$H417*'設定'!$C$4)</f>
        <v/>
      </c>
      <c r="J417" s="13">
        <f>IF(N($C417)=0,"",N($D417)/$C417)</f>
        <v/>
      </c>
      <c r="K417" s="13">
        <f>IF(N($D417)=0,"",N($E417)/$D417)</f>
        <v/>
      </c>
    </row>
    <row r="418">
      <c r="A418" s="8" t="n"/>
      <c r="B418" s="7" t="n"/>
      <c r="C418" s="10" t="n"/>
      <c r="D418" s="11" t="n"/>
      <c r="E418" s="11" t="n"/>
      <c r="F418" s="11" t="n"/>
      <c r="G418" s="12">
        <f>IF($B418="","",IFERROR(INDEX('商品'!$C$4:$C$18,MATCH($B418,'商品'!$A$4:$A$18,0)),""))</f>
        <v/>
      </c>
      <c r="H418" s="12">
        <f>IF(OR($B418="",$G418=""),"",$G418*(N($D418)-N($F418)))</f>
        <v/>
      </c>
      <c r="I418" s="12">
        <f>IF($H418="","",$H418*'設定'!$C$4)</f>
        <v/>
      </c>
      <c r="J418" s="13">
        <f>IF(N($C418)=0,"",N($D418)/$C418)</f>
        <v/>
      </c>
      <c r="K418" s="13">
        <f>IF(N($D418)=0,"",N($E418)/$D418)</f>
        <v/>
      </c>
    </row>
    <row r="419">
      <c r="A419" s="8" t="n"/>
      <c r="B419" s="7" t="n"/>
      <c r="C419" s="10" t="n"/>
      <c r="D419" s="11" t="n"/>
      <c r="E419" s="11" t="n"/>
      <c r="F419" s="11" t="n"/>
      <c r="G419" s="12">
        <f>IF($B419="","",IFERROR(INDEX('商品'!$C$4:$C$18,MATCH($B419,'商品'!$A$4:$A$18,0)),""))</f>
        <v/>
      </c>
      <c r="H419" s="12">
        <f>IF(OR($B419="",$G419=""),"",$G419*(N($D419)-N($F419)))</f>
        <v/>
      </c>
      <c r="I419" s="12">
        <f>IF($H419="","",$H419*'設定'!$C$4)</f>
        <v/>
      </c>
      <c r="J419" s="13">
        <f>IF(N($C419)=0,"",N($D419)/$C419)</f>
        <v/>
      </c>
      <c r="K419" s="13">
        <f>IF(N($D419)=0,"",N($E419)/$D419)</f>
        <v/>
      </c>
    </row>
    <row r="420">
      <c r="A420" s="8" t="n"/>
      <c r="B420" s="7" t="n"/>
      <c r="C420" s="10" t="n"/>
      <c r="D420" s="11" t="n"/>
      <c r="E420" s="11" t="n"/>
      <c r="F420" s="11" t="n"/>
      <c r="G420" s="12">
        <f>IF($B420="","",IFERROR(INDEX('商品'!$C$4:$C$18,MATCH($B420,'商品'!$A$4:$A$18,0)),""))</f>
        <v/>
      </c>
      <c r="H420" s="12">
        <f>IF(OR($B420="",$G420=""),"",$G420*(N($D420)-N($F420)))</f>
        <v/>
      </c>
      <c r="I420" s="12">
        <f>IF($H420="","",$H420*'設定'!$C$4)</f>
        <v/>
      </c>
      <c r="J420" s="13">
        <f>IF(N($C420)=0,"",N($D420)/$C420)</f>
        <v/>
      </c>
      <c r="K420" s="13">
        <f>IF(N($D420)=0,"",N($E420)/$D420)</f>
        <v/>
      </c>
    </row>
    <row r="421">
      <c r="A421" s="8" t="n"/>
      <c r="B421" s="7" t="n"/>
      <c r="C421" s="10" t="n"/>
      <c r="D421" s="11" t="n"/>
      <c r="E421" s="11" t="n"/>
      <c r="F421" s="11" t="n"/>
      <c r="G421" s="12">
        <f>IF($B421="","",IFERROR(INDEX('商品'!$C$4:$C$18,MATCH($B421,'商品'!$A$4:$A$18,0)),""))</f>
        <v/>
      </c>
      <c r="H421" s="12">
        <f>IF(OR($B421="",$G421=""),"",$G421*(N($D421)-N($F421)))</f>
        <v/>
      </c>
      <c r="I421" s="12">
        <f>IF($H421="","",$H421*'設定'!$C$4)</f>
        <v/>
      </c>
      <c r="J421" s="13">
        <f>IF(N($C421)=0,"",N($D421)/$C421)</f>
        <v/>
      </c>
      <c r="K421" s="13">
        <f>IF(N($D421)=0,"",N($E421)/$D421)</f>
        <v/>
      </c>
    </row>
    <row r="422">
      <c r="A422" s="8" t="n"/>
      <c r="B422" s="7" t="n"/>
      <c r="C422" s="10" t="n"/>
      <c r="D422" s="11" t="n"/>
      <c r="E422" s="11" t="n"/>
      <c r="F422" s="11" t="n"/>
      <c r="G422" s="12">
        <f>IF($B422="","",IFERROR(INDEX('商品'!$C$4:$C$18,MATCH($B422,'商品'!$A$4:$A$18,0)),""))</f>
        <v/>
      </c>
      <c r="H422" s="12">
        <f>IF(OR($B422="",$G422=""),"",$G422*(N($D422)-N($F422)))</f>
        <v/>
      </c>
      <c r="I422" s="12">
        <f>IF($H422="","",$H422*'設定'!$C$4)</f>
        <v/>
      </c>
      <c r="J422" s="13">
        <f>IF(N($C422)=0,"",N($D422)/$C422)</f>
        <v/>
      </c>
      <c r="K422" s="13">
        <f>IF(N($D422)=0,"",N($E422)/$D422)</f>
        <v/>
      </c>
    </row>
    <row r="423">
      <c r="A423" s="8" t="n"/>
      <c r="B423" s="7" t="n"/>
      <c r="C423" s="10" t="n"/>
      <c r="D423" s="11" t="n"/>
      <c r="E423" s="11" t="n"/>
      <c r="F423" s="11" t="n"/>
      <c r="G423" s="12">
        <f>IF($B423="","",IFERROR(INDEX('商品'!$C$4:$C$18,MATCH($B423,'商品'!$A$4:$A$18,0)),""))</f>
        <v/>
      </c>
      <c r="H423" s="12">
        <f>IF(OR($B423="",$G423=""),"",$G423*(N($D423)-N($F423)))</f>
        <v/>
      </c>
      <c r="I423" s="12">
        <f>IF($H423="","",$H423*'設定'!$C$4)</f>
        <v/>
      </c>
      <c r="J423" s="13">
        <f>IF(N($C423)=0,"",N($D423)/$C423)</f>
        <v/>
      </c>
      <c r="K423" s="13">
        <f>IF(N($D423)=0,"",N($E423)/$D423)</f>
        <v/>
      </c>
    </row>
    <row r="424">
      <c r="A424" s="8" t="n"/>
      <c r="B424" s="7" t="n"/>
      <c r="C424" s="10" t="n"/>
      <c r="D424" s="11" t="n"/>
      <c r="E424" s="11" t="n"/>
      <c r="F424" s="11" t="n"/>
      <c r="G424" s="12">
        <f>IF($B424="","",IFERROR(INDEX('商品'!$C$4:$C$18,MATCH($B424,'商品'!$A$4:$A$18,0)),""))</f>
        <v/>
      </c>
      <c r="H424" s="12">
        <f>IF(OR($B424="",$G424=""),"",$G424*(N($D424)-N($F424)))</f>
        <v/>
      </c>
      <c r="I424" s="12">
        <f>IF($H424="","",$H424*'設定'!$C$4)</f>
        <v/>
      </c>
      <c r="J424" s="13">
        <f>IF(N($C424)=0,"",N($D424)/$C424)</f>
        <v/>
      </c>
      <c r="K424" s="13">
        <f>IF(N($D424)=0,"",N($E424)/$D424)</f>
        <v/>
      </c>
    </row>
    <row r="425">
      <c r="A425" s="8" t="n"/>
      <c r="B425" s="7" t="n"/>
      <c r="C425" s="10" t="n"/>
      <c r="D425" s="11" t="n"/>
      <c r="E425" s="11" t="n"/>
      <c r="F425" s="11" t="n"/>
      <c r="G425" s="12">
        <f>IF($B425="","",IFERROR(INDEX('商品'!$C$4:$C$18,MATCH($B425,'商品'!$A$4:$A$18,0)),""))</f>
        <v/>
      </c>
      <c r="H425" s="12">
        <f>IF(OR($B425="",$G425=""),"",$G425*(N($D425)-N($F425)))</f>
        <v/>
      </c>
      <c r="I425" s="12">
        <f>IF($H425="","",$H425*'設定'!$C$4)</f>
        <v/>
      </c>
      <c r="J425" s="13">
        <f>IF(N($C425)=0,"",N($D425)/$C425)</f>
        <v/>
      </c>
      <c r="K425" s="13">
        <f>IF(N($D425)=0,"",N($E425)/$D425)</f>
        <v/>
      </c>
    </row>
    <row r="426">
      <c r="A426" s="8" t="n"/>
      <c r="B426" s="7" t="n"/>
      <c r="C426" s="10" t="n"/>
      <c r="D426" s="11" t="n"/>
      <c r="E426" s="11" t="n"/>
      <c r="F426" s="11" t="n"/>
      <c r="G426" s="12">
        <f>IF($B426="","",IFERROR(INDEX('商品'!$C$4:$C$18,MATCH($B426,'商品'!$A$4:$A$18,0)),""))</f>
        <v/>
      </c>
      <c r="H426" s="12">
        <f>IF(OR($B426="",$G426=""),"",$G426*(N($D426)-N($F426)))</f>
        <v/>
      </c>
      <c r="I426" s="12">
        <f>IF($H426="","",$H426*'設定'!$C$4)</f>
        <v/>
      </c>
      <c r="J426" s="13">
        <f>IF(N($C426)=0,"",N($D426)/$C426)</f>
        <v/>
      </c>
      <c r="K426" s="13">
        <f>IF(N($D426)=0,"",N($E426)/$D426)</f>
        <v/>
      </c>
    </row>
    <row r="427">
      <c r="A427" s="8" t="n"/>
      <c r="B427" s="7" t="n"/>
      <c r="C427" s="10" t="n"/>
      <c r="D427" s="11" t="n"/>
      <c r="E427" s="11" t="n"/>
      <c r="F427" s="11" t="n"/>
      <c r="G427" s="12">
        <f>IF($B427="","",IFERROR(INDEX('商品'!$C$4:$C$18,MATCH($B427,'商品'!$A$4:$A$18,0)),""))</f>
        <v/>
      </c>
      <c r="H427" s="12">
        <f>IF(OR($B427="",$G427=""),"",$G427*(N($D427)-N($F427)))</f>
        <v/>
      </c>
      <c r="I427" s="12">
        <f>IF($H427="","",$H427*'設定'!$C$4)</f>
        <v/>
      </c>
      <c r="J427" s="13">
        <f>IF(N($C427)=0,"",N($D427)/$C427)</f>
        <v/>
      </c>
      <c r="K427" s="13">
        <f>IF(N($D427)=0,"",N($E427)/$D427)</f>
        <v/>
      </c>
    </row>
    <row r="428">
      <c r="A428" s="8" t="n"/>
      <c r="B428" s="7" t="n"/>
      <c r="C428" s="10" t="n"/>
      <c r="D428" s="11" t="n"/>
      <c r="E428" s="11" t="n"/>
      <c r="F428" s="11" t="n"/>
      <c r="G428" s="12">
        <f>IF($B428="","",IFERROR(INDEX('商品'!$C$4:$C$18,MATCH($B428,'商品'!$A$4:$A$18,0)),""))</f>
        <v/>
      </c>
      <c r="H428" s="12">
        <f>IF(OR($B428="",$G428=""),"",$G428*(N($D428)-N($F428)))</f>
        <v/>
      </c>
      <c r="I428" s="12">
        <f>IF($H428="","",$H428*'設定'!$C$4)</f>
        <v/>
      </c>
      <c r="J428" s="13">
        <f>IF(N($C428)=0,"",N($D428)/$C428)</f>
        <v/>
      </c>
      <c r="K428" s="13">
        <f>IF(N($D428)=0,"",N($E428)/$D428)</f>
        <v/>
      </c>
    </row>
    <row r="429">
      <c r="A429" s="8" t="n"/>
      <c r="B429" s="7" t="n"/>
      <c r="C429" s="10" t="n"/>
      <c r="D429" s="11" t="n"/>
      <c r="E429" s="11" t="n"/>
      <c r="F429" s="11" t="n"/>
      <c r="G429" s="12">
        <f>IF($B429="","",IFERROR(INDEX('商品'!$C$4:$C$18,MATCH($B429,'商品'!$A$4:$A$18,0)),""))</f>
        <v/>
      </c>
      <c r="H429" s="12">
        <f>IF(OR($B429="",$G429=""),"",$G429*(N($D429)-N($F429)))</f>
        <v/>
      </c>
      <c r="I429" s="12">
        <f>IF($H429="","",$H429*'設定'!$C$4)</f>
        <v/>
      </c>
      <c r="J429" s="13">
        <f>IF(N($C429)=0,"",N($D429)/$C429)</f>
        <v/>
      </c>
      <c r="K429" s="13">
        <f>IF(N($D429)=0,"",N($E429)/$D429)</f>
        <v/>
      </c>
    </row>
    <row r="430">
      <c r="A430" s="8" t="n"/>
      <c r="B430" s="7" t="n"/>
      <c r="C430" s="10" t="n"/>
      <c r="D430" s="11" t="n"/>
      <c r="E430" s="11" t="n"/>
      <c r="F430" s="11" t="n"/>
      <c r="G430" s="12">
        <f>IF($B430="","",IFERROR(INDEX('商品'!$C$4:$C$18,MATCH($B430,'商品'!$A$4:$A$18,0)),""))</f>
        <v/>
      </c>
      <c r="H430" s="12">
        <f>IF(OR($B430="",$G430=""),"",$G430*(N($D430)-N($F430)))</f>
        <v/>
      </c>
      <c r="I430" s="12">
        <f>IF($H430="","",$H430*'設定'!$C$4)</f>
        <v/>
      </c>
      <c r="J430" s="13">
        <f>IF(N($C430)=0,"",N($D430)/$C430)</f>
        <v/>
      </c>
      <c r="K430" s="13">
        <f>IF(N($D430)=0,"",N($E430)/$D430)</f>
        <v/>
      </c>
    </row>
    <row r="431">
      <c r="A431" s="8" t="n"/>
      <c r="B431" s="7" t="n"/>
      <c r="C431" s="10" t="n"/>
      <c r="D431" s="11" t="n"/>
      <c r="E431" s="11" t="n"/>
      <c r="F431" s="11" t="n"/>
      <c r="G431" s="12">
        <f>IF($B431="","",IFERROR(INDEX('商品'!$C$4:$C$18,MATCH($B431,'商品'!$A$4:$A$18,0)),""))</f>
        <v/>
      </c>
      <c r="H431" s="12">
        <f>IF(OR($B431="",$G431=""),"",$G431*(N($D431)-N($F431)))</f>
        <v/>
      </c>
      <c r="I431" s="12">
        <f>IF($H431="","",$H431*'設定'!$C$4)</f>
        <v/>
      </c>
      <c r="J431" s="13">
        <f>IF(N($C431)=0,"",N($D431)/$C431)</f>
        <v/>
      </c>
      <c r="K431" s="13">
        <f>IF(N($D431)=0,"",N($E431)/$D431)</f>
        <v/>
      </c>
    </row>
    <row r="432">
      <c r="A432" s="8" t="n"/>
      <c r="B432" s="7" t="n"/>
      <c r="C432" s="10" t="n"/>
      <c r="D432" s="11" t="n"/>
      <c r="E432" s="11" t="n"/>
      <c r="F432" s="11" t="n"/>
      <c r="G432" s="12">
        <f>IF($B432="","",IFERROR(INDEX('商品'!$C$4:$C$18,MATCH($B432,'商品'!$A$4:$A$18,0)),""))</f>
        <v/>
      </c>
      <c r="H432" s="12">
        <f>IF(OR($B432="",$G432=""),"",$G432*(N($D432)-N($F432)))</f>
        <v/>
      </c>
      <c r="I432" s="12">
        <f>IF($H432="","",$H432*'設定'!$C$4)</f>
        <v/>
      </c>
      <c r="J432" s="13">
        <f>IF(N($C432)=0,"",N($D432)/$C432)</f>
        <v/>
      </c>
      <c r="K432" s="13">
        <f>IF(N($D432)=0,"",N($E432)/$D432)</f>
        <v/>
      </c>
    </row>
    <row r="433">
      <c r="A433" s="8" t="n"/>
      <c r="B433" s="7" t="n"/>
      <c r="C433" s="10" t="n"/>
      <c r="D433" s="11" t="n"/>
      <c r="E433" s="11" t="n"/>
      <c r="F433" s="11" t="n"/>
      <c r="G433" s="12">
        <f>IF($B433="","",IFERROR(INDEX('商品'!$C$4:$C$18,MATCH($B433,'商品'!$A$4:$A$18,0)),""))</f>
        <v/>
      </c>
      <c r="H433" s="12">
        <f>IF(OR($B433="",$G433=""),"",$G433*(N($D433)-N($F433)))</f>
        <v/>
      </c>
      <c r="I433" s="12">
        <f>IF($H433="","",$H433*'設定'!$C$4)</f>
        <v/>
      </c>
      <c r="J433" s="13">
        <f>IF(N($C433)=0,"",N($D433)/$C433)</f>
        <v/>
      </c>
      <c r="K433" s="13">
        <f>IF(N($D433)=0,"",N($E433)/$D433)</f>
        <v/>
      </c>
    </row>
    <row r="434">
      <c r="A434" s="8" t="n"/>
      <c r="B434" s="7" t="n"/>
      <c r="C434" s="10" t="n"/>
      <c r="D434" s="11" t="n"/>
      <c r="E434" s="11" t="n"/>
      <c r="F434" s="11" t="n"/>
      <c r="G434" s="12">
        <f>IF($B434="","",IFERROR(INDEX('商品'!$C$4:$C$18,MATCH($B434,'商品'!$A$4:$A$18,0)),""))</f>
        <v/>
      </c>
      <c r="H434" s="12">
        <f>IF(OR($B434="",$G434=""),"",$G434*(N($D434)-N($F434)))</f>
        <v/>
      </c>
      <c r="I434" s="12">
        <f>IF($H434="","",$H434*'設定'!$C$4)</f>
        <v/>
      </c>
      <c r="J434" s="13">
        <f>IF(N($C434)=0,"",N($D434)/$C434)</f>
        <v/>
      </c>
      <c r="K434" s="13">
        <f>IF(N($D434)=0,"",N($E434)/$D434)</f>
        <v/>
      </c>
    </row>
    <row r="435">
      <c r="A435" s="8" t="n"/>
      <c r="B435" s="7" t="n"/>
      <c r="C435" s="10" t="n"/>
      <c r="D435" s="11" t="n"/>
      <c r="E435" s="11" t="n"/>
      <c r="F435" s="11" t="n"/>
      <c r="G435" s="12">
        <f>IF($B435="","",IFERROR(INDEX('商品'!$C$4:$C$18,MATCH($B435,'商品'!$A$4:$A$18,0)),""))</f>
        <v/>
      </c>
      <c r="H435" s="12">
        <f>IF(OR($B435="",$G435=""),"",$G435*(N($D435)-N($F435)))</f>
        <v/>
      </c>
      <c r="I435" s="12">
        <f>IF($H435="","",$H435*'設定'!$C$4)</f>
        <v/>
      </c>
      <c r="J435" s="13">
        <f>IF(N($C435)=0,"",N($D435)/$C435)</f>
        <v/>
      </c>
      <c r="K435" s="13">
        <f>IF(N($D435)=0,"",N($E435)/$D435)</f>
        <v/>
      </c>
    </row>
    <row r="436">
      <c r="A436" s="8" t="n"/>
      <c r="B436" s="7" t="n"/>
      <c r="C436" s="10" t="n"/>
      <c r="D436" s="11" t="n"/>
      <c r="E436" s="11" t="n"/>
      <c r="F436" s="11" t="n"/>
      <c r="G436" s="12">
        <f>IF($B436="","",IFERROR(INDEX('商品'!$C$4:$C$18,MATCH($B436,'商品'!$A$4:$A$18,0)),""))</f>
        <v/>
      </c>
      <c r="H436" s="12">
        <f>IF(OR($B436="",$G436=""),"",$G436*(N($D436)-N($F436)))</f>
        <v/>
      </c>
      <c r="I436" s="12">
        <f>IF($H436="","",$H436*'設定'!$C$4)</f>
        <v/>
      </c>
      <c r="J436" s="13">
        <f>IF(N($C436)=0,"",N($D436)/$C436)</f>
        <v/>
      </c>
      <c r="K436" s="13">
        <f>IF(N($D436)=0,"",N($E436)/$D436)</f>
        <v/>
      </c>
    </row>
    <row r="437">
      <c r="A437" s="8" t="n"/>
      <c r="B437" s="7" t="n"/>
      <c r="C437" s="10" t="n"/>
      <c r="D437" s="11" t="n"/>
      <c r="E437" s="11" t="n"/>
      <c r="F437" s="11" t="n"/>
      <c r="G437" s="12">
        <f>IF($B437="","",IFERROR(INDEX('商品'!$C$4:$C$18,MATCH($B437,'商品'!$A$4:$A$18,0)),""))</f>
        <v/>
      </c>
      <c r="H437" s="12">
        <f>IF(OR($B437="",$G437=""),"",$G437*(N($D437)-N($F437)))</f>
        <v/>
      </c>
      <c r="I437" s="12">
        <f>IF($H437="","",$H437*'設定'!$C$4)</f>
        <v/>
      </c>
      <c r="J437" s="13">
        <f>IF(N($C437)=0,"",N($D437)/$C437)</f>
        <v/>
      </c>
      <c r="K437" s="13">
        <f>IF(N($D437)=0,"",N($E437)/$D437)</f>
        <v/>
      </c>
    </row>
    <row r="438">
      <c r="A438" s="8" t="n"/>
      <c r="B438" s="7" t="n"/>
      <c r="C438" s="10" t="n"/>
      <c r="D438" s="11" t="n"/>
      <c r="E438" s="11" t="n"/>
      <c r="F438" s="11" t="n"/>
      <c r="G438" s="12">
        <f>IF($B438="","",IFERROR(INDEX('商品'!$C$4:$C$18,MATCH($B438,'商品'!$A$4:$A$18,0)),""))</f>
        <v/>
      </c>
      <c r="H438" s="12">
        <f>IF(OR($B438="",$G438=""),"",$G438*(N($D438)-N($F438)))</f>
        <v/>
      </c>
      <c r="I438" s="12">
        <f>IF($H438="","",$H438*'設定'!$C$4)</f>
        <v/>
      </c>
      <c r="J438" s="13">
        <f>IF(N($C438)=0,"",N($D438)/$C438)</f>
        <v/>
      </c>
      <c r="K438" s="13">
        <f>IF(N($D438)=0,"",N($E438)/$D438)</f>
        <v/>
      </c>
    </row>
    <row r="439">
      <c r="A439" s="8" t="n"/>
      <c r="B439" s="7" t="n"/>
      <c r="C439" s="10" t="n"/>
      <c r="D439" s="11" t="n"/>
      <c r="E439" s="11" t="n"/>
      <c r="F439" s="11" t="n"/>
      <c r="G439" s="12">
        <f>IF($B439="","",IFERROR(INDEX('商品'!$C$4:$C$18,MATCH($B439,'商品'!$A$4:$A$18,0)),""))</f>
        <v/>
      </c>
      <c r="H439" s="12">
        <f>IF(OR($B439="",$G439=""),"",$G439*(N($D439)-N($F439)))</f>
        <v/>
      </c>
      <c r="I439" s="12">
        <f>IF($H439="","",$H439*'設定'!$C$4)</f>
        <v/>
      </c>
      <c r="J439" s="13">
        <f>IF(N($C439)=0,"",N($D439)/$C439)</f>
        <v/>
      </c>
      <c r="K439" s="13">
        <f>IF(N($D439)=0,"",N($E439)/$D439)</f>
        <v/>
      </c>
    </row>
    <row r="440">
      <c r="A440" s="8" t="n"/>
      <c r="B440" s="7" t="n"/>
      <c r="C440" s="10" t="n"/>
      <c r="D440" s="11" t="n"/>
      <c r="E440" s="11" t="n"/>
      <c r="F440" s="11" t="n"/>
      <c r="G440" s="12">
        <f>IF($B440="","",IFERROR(INDEX('商品'!$C$4:$C$18,MATCH($B440,'商品'!$A$4:$A$18,0)),""))</f>
        <v/>
      </c>
      <c r="H440" s="12">
        <f>IF(OR($B440="",$G440=""),"",$G440*(N($D440)-N($F440)))</f>
        <v/>
      </c>
      <c r="I440" s="12">
        <f>IF($H440="","",$H440*'設定'!$C$4)</f>
        <v/>
      </c>
      <c r="J440" s="13">
        <f>IF(N($C440)=0,"",N($D440)/$C440)</f>
        <v/>
      </c>
      <c r="K440" s="13">
        <f>IF(N($D440)=0,"",N($E440)/$D440)</f>
        <v/>
      </c>
    </row>
    <row r="441">
      <c r="A441" s="8" t="n"/>
      <c r="B441" s="7" t="n"/>
      <c r="C441" s="10" t="n"/>
      <c r="D441" s="11" t="n"/>
      <c r="E441" s="11" t="n"/>
      <c r="F441" s="11" t="n"/>
      <c r="G441" s="12">
        <f>IF($B441="","",IFERROR(INDEX('商品'!$C$4:$C$18,MATCH($B441,'商品'!$A$4:$A$18,0)),""))</f>
        <v/>
      </c>
      <c r="H441" s="12">
        <f>IF(OR($B441="",$G441=""),"",$G441*(N($D441)-N($F441)))</f>
        <v/>
      </c>
      <c r="I441" s="12">
        <f>IF($H441="","",$H441*'設定'!$C$4)</f>
        <v/>
      </c>
      <c r="J441" s="13">
        <f>IF(N($C441)=0,"",N($D441)/$C441)</f>
        <v/>
      </c>
      <c r="K441" s="13">
        <f>IF(N($D441)=0,"",N($E441)/$D441)</f>
        <v/>
      </c>
    </row>
    <row r="442">
      <c r="A442" s="8" t="n"/>
      <c r="B442" s="7" t="n"/>
      <c r="C442" s="10" t="n"/>
      <c r="D442" s="11" t="n"/>
      <c r="E442" s="11" t="n"/>
      <c r="F442" s="11" t="n"/>
      <c r="G442" s="12">
        <f>IF($B442="","",IFERROR(INDEX('商品'!$C$4:$C$18,MATCH($B442,'商品'!$A$4:$A$18,0)),""))</f>
        <v/>
      </c>
      <c r="H442" s="12">
        <f>IF(OR($B442="",$G442=""),"",$G442*(N($D442)-N($F442)))</f>
        <v/>
      </c>
      <c r="I442" s="12">
        <f>IF($H442="","",$H442*'設定'!$C$4)</f>
        <v/>
      </c>
      <c r="J442" s="13">
        <f>IF(N($C442)=0,"",N($D442)/$C442)</f>
        <v/>
      </c>
      <c r="K442" s="13">
        <f>IF(N($D442)=0,"",N($E442)/$D442)</f>
        <v/>
      </c>
    </row>
    <row r="443">
      <c r="A443" s="8" t="n"/>
      <c r="B443" s="7" t="n"/>
      <c r="C443" s="10" t="n"/>
      <c r="D443" s="11" t="n"/>
      <c r="E443" s="11" t="n"/>
      <c r="F443" s="11" t="n"/>
      <c r="G443" s="12">
        <f>IF($B443="","",IFERROR(INDEX('商品'!$C$4:$C$18,MATCH($B443,'商品'!$A$4:$A$18,0)),""))</f>
        <v/>
      </c>
      <c r="H443" s="12">
        <f>IF(OR($B443="",$G443=""),"",$G443*(N($D443)-N($F443)))</f>
        <v/>
      </c>
      <c r="I443" s="12">
        <f>IF($H443="","",$H443*'設定'!$C$4)</f>
        <v/>
      </c>
      <c r="J443" s="13">
        <f>IF(N($C443)=0,"",N($D443)/$C443)</f>
        <v/>
      </c>
      <c r="K443" s="13">
        <f>IF(N($D443)=0,"",N($E443)/$D443)</f>
        <v/>
      </c>
    </row>
    <row r="444">
      <c r="A444" s="8" t="n"/>
      <c r="B444" s="7" t="n"/>
      <c r="C444" s="10" t="n"/>
      <c r="D444" s="11" t="n"/>
      <c r="E444" s="11" t="n"/>
      <c r="F444" s="11" t="n"/>
      <c r="G444" s="12">
        <f>IF($B444="","",IFERROR(INDEX('商品'!$C$4:$C$18,MATCH($B444,'商品'!$A$4:$A$18,0)),""))</f>
        <v/>
      </c>
      <c r="H444" s="12">
        <f>IF(OR($B444="",$G444=""),"",$G444*(N($D444)-N($F444)))</f>
        <v/>
      </c>
      <c r="I444" s="12">
        <f>IF($H444="","",$H444*'設定'!$C$4)</f>
        <v/>
      </c>
      <c r="J444" s="13">
        <f>IF(N($C444)=0,"",N($D444)/$C444)</f>
        <v/>
      </c>
      <c r="K444" s="13">
        <f>IF(N($D444)=0,"",N($E444)/$D444)</f>
        <v/>
      </c>
    </row>
    <row r="445">
      <c r="A445" s="8" t="n"/>
      <c r="B445" s="7" t="n"/>
      <c r="C445" s="10" t="n"/>
      <c r="D445" s="11" t="n"/>
      <c r="E445" s="11" t="n"/>
      <c r="F445" s="11" t="n"/>
      <c r="G445" s="12">
        <f>IF($B445="","",IFERROR(INDEX('商品'!$C$4:$C$18,MATCH($B445,'商品'!$A$4:$A$18,0)),""))</f>
        <v/>
      </c>
      <c r="H445" s="12">
        <f>IF(OR($B445="",$G445=""),"",$G445*(N($D445)-N($F445)))</f>
        <v/>
      </c>
      <c r="I445" s="12">
        <f>IF($H445="","",$H445*'設定'!$C$4)</f>
        <v/>
      </c>
      <c r="J445" s="13">
        <f>IF(N($C445)=0,"",N($D445)/$C445)</f>
        <v/>
      </c>
      <c r="K445" s="13">
        <f>IF(N($D445)=0,"",N($E445)/$D445)</f>
        <v/>
      </c>
    </row>
    <row r="446">
      <c r="A446" s="8" t="n"/>
      <c r="B446" s="7" t="n"/>
      <c r="C446" s="10" t="n"/>
      <c r="D446" s="11" t="n"/>
      <c r="E446" s="11" t="n"/>
      <c r="F446" s="11" t="n"/>
      <c r="G446" s="12">
        <f>IF($B446="","",IFERROR(INDEX('商品'!$C$4:$C$18,MATCH($B446,'商品'!$A$4:$A$18,0)),""))</f>
        <v/>
      </c>
      <c r="H446" s="12">
        <f>IF(OR($B446="",$G446=""),"",$G446*(N($D446)-N($F446)))</f>
        <v/>
      </c>
      <c r="I446" s="12">
        <f>IF($H446="","",$H446*'設定'!$C$4)</f>
        <v/>
      </c>
      <c r="J446" s="13">
        <f>IF(N($C446)=0,"",N($D446)/$C446)</f>
        <v/>
      </c>
      <c r="K446" s="13">
        <f>IF(N($D446)=0,"",N($E446)/$D446)</f>
        <v/>
      </c>
    </row>
    <row r="447">
      <c r="A447" s="8" t="n"/>
      <c r="B447" s="7" t="n"/>
      <c r="C447" s="10" t="n"/>
      <c r="D447" s="11" t="n"/>
      <c r="E447" s="11" t="n"/>
      <c r="F447" s="11" t="n"/>
      <c r="G447" s="12">
        <f>IF($B447="","",IFERROR(INDEX('商品'!$C$4:$C$18,MATCH($B447,'商品'!$A$4:$A$18,0)),""))</f>
        <v/>
      </c>
      <c r="H447" s="12">
        <f>IF(OR($B447="",$G447=""),"",$G447*(N($D447)-N($F447)))</f>
        <v/>
      </c>
      <c r="I447" s="12">
        <f>IF($H447="","",$H447*'設定'!$C$4)</f>
        <v/>
      </c>
      <c r="J447" s="13">
        <f>IF(N($C447)=0,"",N($D447)/$C447)</f>
        <v/>
      </c>
      <c r="K447" s="13">
        <f>IF(N($D447)=0,"",N($E447)/$D447)</f>
        <v/>
      </c>
    </row>
    <row r="448">
      <c r="A448" s="8" t="n"/>
      <c r="B448" s="7" t="n"/>
      <c r="C448" s="10" t="n"/>
      <c r="D448" s="11" t="n"/>
      <c r="E448" s="11" t="n"/>
      <c r="F448" s="11" t="n"/>
      <c r="G448" s="12">
        <f>IF($B448="","",IFERROR(INDEX('商品'!$C$4:$C$18,MATCH($B448,'商品'!$A$4:$A$18,0)),""))</f>
        <v/>
      </c>
      <c r="H448" s="12">
        <f>IF(OR($B448="",$G448=""),"",$G448*(N($D448)-N($F448)))</f>
        <v/>
      </c>
      <c r="I448" s="12">
        <f>IF($H448="","",$H448*'設定'!$C$4)</f>
        <v/>
      </c>
      <c r="J448" s="13">
        <f>IF(N($C448)=0,"",N($D448)/$C448)</f>
        <v/>
      </c>
      <c r="K448" s="13">
        <f>IF(N($D448)=0,"",N($E448)/$D448)</f>
        <v/>
      </c>
    </row>
    <row r="449">
      <c r="A449" s="8" t="n"/>
      <c r="B449" s="7" t="n"/>
      <c r="C449" s="10" t="n"/>
      <c r="D449" s="11" t="n"/>
      <c r="E449" s="11" t="n"/>
      <c r="F449" s="11" t="n"/>
      <c r="G449" s="12">
        <f>IF($B449="","",IFERROR(INDEX('商品'!$C$4:$C$18,MATCH($B449,'商品'!$A$4:$A$18,0)),""))</f>
        <v/>
      </c>
      <c r="H449" s="12">
        <f>IF(OR($B449="",$G449=""),"",$G449*(N($D449)-N($F449)))</f>
        <v/>
      </c>
      <c r="I449" s="12">
        <f>IF($H449="","",$H449*'設定'!$C$4)</f>
        <v/>
      </c>
      <c r="J449" s="13">
        <f>IF(N($C449)=0,"",N($D449)/$C449)</f>
        <v/>
      </c>
      <c r="K449" s="13">
        <f>IF(N($D449)=0,"",N($E449)/$D449)</f>
        <v/>
      </c>
    </row>
    <row r="450">
      <c r="A450" s="8" t="n"/>
      <c r="B450" s="7" t="n"/>
      <c r="C450" s="10" t="n"/>
      <c r="D450" s="11" t="n"/>
      <c r="E450" s="11" t="n"/>
      <c r="F450" s="11" t="n"/>
      <c r="G450" s="12">
        <f>IF($B450="","",IFERROR(INDEX('商品'!$C$4:$C$18,MATCH($B450,'商品'!$A$4:$A$18,0)),""))</f>
        <v/>
      </c>
      <c r="H450" s="12">
        <f>IF(OR($B450="",$G450=""),"",$G450*(N($D450)-N($F450)))</f>
        <v/>
      </c>
      <c r="I450" s="12">
        <f>IF($H450="","",$H450*'設定'!$C$4)</f>
        <v/>
      </c>
      <c r="J450" s="13">
        <f>IF(N($C450)=0,"",N($D450)/$C450)</f>
        <v/>
      </c>
      <c r="K450" s="13">
        <f>IF(N($D450)=0,"",N($E450)/$D450)</f>
        <v/>
      </c>
    </row>
    <row r="451">
      <c r="A451" s="8" t="n"/>
      <c r="B451" s="7" t="n"/>
      <c r="C451" s="10" t="n"/>
      <c r="D451" s="11" t="n"/>
      <c r="E451" s="11" t="n"/>
      <c r="F451" s="11" t="n"/>
      <c r="G451" s="12">
        <f>IF($B451="","",IFERROR(INDEX('商品'!$C$4:$C$18,MATCH($B451,'商品'!$A$4:$A$18,0)),""))</f>
        <v/>
      </c>
      <c r="H451" s="12">
        <f>IF(OR($B451="",$G451=""),"",$G451*(N($D451)-N($F451)))</f>
        <v/>
      </c>
      <c r="I451" s="12">
        <f>IF($H451="","",$H451*'設定'!$C$4)</f>
        <v/>
      </c>
      <c r="J451" s="13">
        <f>IF(N($C451)=0,"",N($D451)/$C451)</f>
        <v/>
      </c>
      <c r="K451" s="13">
        <f>IF(N($D451)=0,"",N($E451)/$D451)</f>
        <v/>
      </c>
    </row>
    <row r="452">
      <c r="A452" s="8" t="n"/>
      <c r="B452" s="7" t="n"/>
      <c r="C452" s="10" t="n"/>
      <c r="D452" s="11" t="n"/>
      <c r="E452" s="11" t="n"/>
      <c r="F452" s="11" t="n"/>
      <c r="G452" s="12">
        <f>IF($B452="","",IFERROR(INDEX('商品'!$C$4:$C$18,MATCH($B452,'商品'!$A$4:$A$18,0)),""))</f>
        <v/>
      </c>
      <c r="H452" s="12">
        <f>IF(OR($B452="",$G452=""),"",$G452*(N($D452)-N($F452)))</f>
        <v/>
      </c>
      <c r="I452" s="12">
        <f>IF($H452="","",$H452*'設定'!$C$4)</f>
        <v/>
      </c>
      <c r="J452" s="13">
        <f>IF(N($C452)=0,"",N($D452)/$C452)</f>
        <v/>
      </c>
      <c r="K452" s="13">
        <f>IF(N($D452)=0,"",N($E452)/$D452)</f>
        <v/>
      </c>
    </row>
    <row r="453">
      <c r="A453" s="8" t="n"/>
      <c r="B453" s="7" t="n"/>
      <c r="C453" s="10" t="n"/>
      <c r="D453" s="11" t="n"/>
      <c r="E453" s="11" t="n"/>
      <c r="F453" s="11" t="n"/>
      <c r="G453" s="12">
        <f>IF($B453="","",IFERROR(INDEX('商品'!$C$4:$C$18,MATCH($B453,'商品'!$A$4:$A$18,0)),""))</f>
        <v/>
      </c>
      <c r="H453" s="12">
        <f>IF(OR($B453="",$G453=""),"",$G453*(N($D453)-N($F453)))</f>
        <v/>
      </c>
      <c r="I453" s="12">
        <f>IF($H453="","",$H453*'設定'!$C$4)</f>
        <v/>
      </c>
      <c r="J453" s="13">
        <f>IF(N($C453)=0,"",N($D453)/$C453)</f>
        <v/>
      </c>
      <c r="K453" s="13">
        <f>IF(N($D453)=0,"",N($E453)/$D453)</f>
        <v/>
      </c>
    </row>
    <row r="454">
      <c r="A454" s="8" t="n"/>
      <c r="B454" s="7" t="n"/>
      <c r="C454" s="10" t="n"/>
      <c r="D454" s="11" t="n"/>
      <c r="E454" s="11" t="n"/>
      <c r="F454" s="11" t="n"/>
      <c r="G454" s="12">
        <f>IF($B454="","",IFERROR(INDEX('商品'!$C$4:$C$18,MATCH($B454,'商品'!$A$4:$A$18,0)),""))</f>
        <v/>
      </c>
      <c r="H454" s="12">
        <f>IF(OR($B454="",$G454=""),"",$G454*(N($D454)-N($F454)))</f>
        <v/>
      </c>
      <c r="I454" s="12">
        <f>IF($H454="","",$H454*'設定'!$C$4)</f>
        <v/>
      </c>
      <c r="J454" s="13">
        <f>IF(N($C454)=0,"",N($D454)/$C454)</f>
        <v/>
      </c>
      <c r="K454" s="13">
        <f>IF(N($D454)=0,"",N($E454)/$D454)</f>
        <v/>
      </c>
    </row>
    <row r="455">
      <c r="A455" s="8" t="n"/>
      <c r="B455" s="7" t="n"/>
      <c r="C455" s="10" t="n"/>
      <c r="D455" s="11" t="n"/>
      <c r="E455" s="11" t="n"/>
      <c r="F455" s="11" t="n"/>
      <c r="G455" s="12">
        <f>IF($B455="","",IFERROR(INDEX('商品'!$C$4:$C$18,MATCH($B455,'商品'!$A$4:$A$18,0)),""))</f>
        <v/>
      </c>
      <c r="H455" s="12">
        <f>IF(OR($B455="",$G455=""),"",$G455*(N($D455)-N($F455)))</f>
        <v/>
      </c>
      <c r="I455" s="12">
        <f>IF($H455="","",$H455*'設定'!$C$4)</f>
        <v/>
      </c>
      <c r="J455" s="13">
        <f>IF(N($C455)=0,"",N($D455)/$C455)</f>
        <v/>
      </c>
      <c r="K455" s="13">
        <f>IF(N($D455)=0,"",N($E455)/$D455)</f>
        <v/>
      </c>
    </row>
    <row r="456">
      <c r="A456" s="8" t="n"/>
      <c r="B456" s="7" t="n"/>
      <c r="C456" s="10" t="n"/>
      <c r="D456" s="11" t="n"/>
      <c r="E456" s="11" t="n"/>
      <c r="F456" s="11" t="n"/>
      <c r="G456" s="12">
        <f>IF($B456="","",IFERROR(INDEX('商品'!$C$4:$C$18,MATCH($B456,'商品'!$A$4:$A$18,0)),""))</f>
        <v/>
      </c>
      <c r="H456" s="12">
        <f>IF(OR($B456="",$G456=""),"",$G456*(N($D456)-N($F456)))</f>
        <v/>
      </c>
      <c r="I456" s="12">
        <f>IF($H456="","",$H456*'設定'!$C$4)</f>
        <v/>
      </c>
      <c r="J456" s="13">
        <f>IF(N($C456)=0,"",N($D456)/$C456)</f>
        <v/>
      </c>
      <c r="K456" s="13">
        <f>IF(N($D456)=0,"",N($E456)/$D456)</f>
        <v/>
      </c>
    </row>
    <row r="457">
      <c r="A457" s="8" t="n"/>
      <c r="B457" s="7" t="n"/>
      <c r="C457" s="10" t="n"/>
      <c r="D457" s="11" t="n"/>
      <c r="E457" s="11" t="n"/>
      <c r="F457" s="11" t="n"/>
      <c r="G457" s="12">
        <f>IF($B457="","",IFERROR(INDEX('商品'!$C$4:$C$18,MATCH($B457,'商品'!$A$4:$A$18,0)),""))</f>
        <v/>
      </c>
      <c r="H457" s="12">
        <f>IF(OR($B457="",$G457=""),"",$G457*(N($D457)-N($F457)))</f>
        <v/>
      </c>
      <c r="I457" s="12">
        <f>IF($H457="","",$H457*'設定'!$C$4)</f>
        <v/>
      </c>
      <c r="J457" s="13">
        <f>IF(N($C457)=0,"",N($D457)/$C457)</f>
        <v/>
      </c>
      <c r="K457" s="13">
        <f>IF(N($D457)=0,"",N($E457)/$D457)</f>
        <v/>
      </c>
    </row>
    <row r="458">
      <c r="A458" s="8" t="n"/>
      <c r="B458" s="7" t="n"/>
      <c r="C458" s="10" t="n"/>
      <c r="D458" s="11" t="n"/>
      <c r="E458" s="11" t="n"/>
      <c r="F458" s="11" t="n"/>
      <c r="G458" s="12">
        <f>IF($B458="","",IFERROR(INDEX('商品'!$C$4:$C$18,MATCH($B458,'商品'!$A$4:$A$18,0)),""))</f>
        <v/>
      </c>
      <c r="H458" s="12">
        <f>IF(OR($B458="",$G458=""),"",$G458*(N($D458)-N($F458)))</f>
        <v/>
      </c>
      <c r="I458" s="12">
        <f>IF($H458="","",$H458*'設定'!$C$4)</f>
        <v/>
      </c>
      <c r="J458" s="13">
        <f>IF(N($C458)=0,"",N($D458)/$C458)</f>
        <v/>
      </c>
      <c r="K458" s="13">
        <f>IF(N($D458)=0,"",N($E458)/$D458)</f>
        <v/>
      </c>
    </row>
    <row r="459">
      <c r="A459" s="8" t="n"/>
      <c r="B459" s="7" t="n"/>
      <c r="C459" s="10" t="n"/>
      <c r="D459" s="11" t="n"/>
      <c r="E459" s="11" t="n"/>
      <c r="F459" s="11" t="n"/>
      <c r="G459" s="12">
        <f>IF($B459="","",IFERROR(INDEX('商品'!$C$4:$C$18,MATCH($B459,'商品'!$A$4:$A$18,0)),""))</f>
        <v/>
      </c>
      <c r="H459" s="12">
        <f>IF(OR($B459="",$G459=""),"",$G459*(N($D459)-N($F459)))</f>
        <v/>
      </c>
      <c r="I459" s="12">
        <f>IF($H459="","",$H459*'設定'!$C$4)</f>
        <v/>
      </c>
      <c r="J459" s="13">
        <f>IF(N($C459)=0,"",N($D459)/$C459)</f>
        <v/>
      </c>
      <c r="K459" s="13">
        <f>IF(N($D459)=0,"",N($E459)/$D459)</f>
        <v/>
      </c>
    </row>
    <row r="460">
      <c r="A460" s="8" t="n"/>
      <c r="B460" s="7" t="n"/>
      <c r="C460" s="10" t="n"/>
      <c r="D460" s="11" t="n"/>
      <c r="E460" s="11" t="n"/>
      <c r="F460" s="11" t="n"/>
      <c r="G460" s="12">
        <f>IF($B460="","",IFERROR(INDEX('商品'!$C$4:$C$18,MATCH($B460,'商品'!$A$4:$A$18,0)),""))</f>
        <v/>
      </c>
      <c r="H460" s="12">
        <f>IF(OR($B460="",$G460=""),"",$G460*(N($D460)-N($F460)))</f>
        <v/>
      </c>
      <c r="I460" s="12">
        <f>IF($H460="","",$H460*'設定'!$C$4)</f>
        <v/>
      </c>
      <c r="J460" s="13">
        <f>IF(N($C460)=0,"",N($D460)/$C460)</f>
        <v/>
      </c>
      <c r="K460" s="13">
        <f>IF(N($D460)=0,"",N($E460)/$D460)</f>
        <v/>
      </c>
    </row>
    <row r="461">
      <c r="A461" s="8" t="n"/>
      <c r="B461" s="7" t="n"/>
      <c r="C461" s="10" t="n"/>
      <c r="D461" s="11" t="n"/>
      <c r="E461" s="11" t="n"/>
      <c r="F461" s="11" t="n"/>
      <c r="G461" s="12">
        <f>IF($B461="","",IFERROR(INDEX('商品'!$C$4:$C$18,MATCH($B461,'商品'!$A$4:$A$18,0)),""))</f>
        <v/>
      </c>
      <c r="H461" s="12">
        <f>IF(OR($B461="",$G461=""),"",$G461*(N($D461)-N($F461)))</f>
        <v/>
      </c>
      <c r="I461" s="12">
        <f>IF($H461="","",$H461*'設定'!$C$4)</f>
        <v/>
      </c>
      <c r="J461" s="13">
        <f>IF(N($C461)=0,"",N($D461)/$C461)</f>
        <v/>
      </c>
      <c r="K461" s="13">
        <f>IF(N($D461)=0,"",N($E461)/$D461)</f>
        <v/>
      </c>
    </row>
    <row r="462">
      <c r="A462" s="8" t="n"/>
      <c r="B462" s="7" t="n"/>
      <c r="C462" s="10" t="n"/>
      <c r="D462" s="11" t="n"/>
      <c r="E462" s="11" t="n"/>
      <c r="F462" s="11" t="n"/>
      <c r="G462" s="12">
        <f>IF($B462="","",IFERROR(INDEX('商品'!$C$4:$C$18,MATCH($B462,'商品'!$A$4:$A$18,0)),""))</f>
        <v/>
      </c>
      <c r="H462" s="12">
        <f>IF(OR($B462="",$G462=""),"",$G462*(N($D462)-N($F462)))</f>
        <v/>
      </c>
      <c r="I462" s="12">
        <f>IF($H462="","",$H462*'設定'!$C$4)</f>
        <v/>
      </c>
      <c r="J462" s="13">
        <f>IF(N($C462)=0,"",N($D462)/$C462)</f>
        <v/>
      </c>
      <c r="K462" s="13">
        <f>IF(N($D462)=0,"",N($E462)/$D462)</f>
        <v/>
      </c>
    </row>
    <row r="463">
      <c r="A463" s="8" t="n"/>
      <c r="B463" s="7" t="n"/>
      <c r="C463" s="10" t="n"/>
      <c r="D463" s="11" t="n"/>
      <c r="E463" s="11" t="n"/>
      <c r="F463" s="11" t="n"/>
      <c r="G463" s="12">
        <f>IF($B463="","",IFERROR(INDEX('商品'!$C$4:$C$18,MATCH($B463,'商品'!$A$4:$A$18,0)),""))</f>
        <v/>
      </c>
      <c r="H463" s="12">
        <f>IF(OR($B463="",$G463=""),"",$G463*(N($D463)-N($F463)))</f>
        <v/>
      </c>
      <c r="I463" s="12">
        <f>IF($H463="","",$H463*'設定'!$C$4)</f>
        <v/>
      </c>
      <c r="J463" s="13">
        <f>IF(N($C463)=0,"",N($D463)/$C463)</f>
        <v/>
      </c>
      <c r="K463" s="13">
        <f>IF(N($D463)=0,"",N($E463)/$D463)</f>
        <v/>
      </c>
    </row>
    <row r="464">
      <c r="A464" s="8" t="n"/>
      <c r="B464" s="7" t="n"/>
      <c r="C464" s="10" t="n"/>
      <c r="D464" s="11" t="n"/>
      <c r="E464" s="11" t="n"/>
      <c r="F464" s="11" t="n"/>
      <c r="G464" s="12">
        <f>IF($B464="","",IFERROR(INDEX('商品'!$C$4:$C$18,MATCH($B464,'商品'!$A$4:$A$18,0)),""))</f>
        <v/>
      </c>
      <c r="H464" s="12">
        <f>IF(OR($B464="",$G464=""),"",$G464*(N($D464)-N($F464)))</f>
        <v/>
      </c>
      <c r="I464" s="12">
        <f>IF($H464="","",$H464*'設定'!$C$4)</f>
        <v/>
      </c>
      <c r="J464" s="13">
        <f>IF(N($C464)=0,"",N($D464)/$C464)</f>
        <v/>
      </c>
      <c r="K464" s="13">
        <f>IF(N($D464)=0,"",N($E464)/$D464)</f>
        <v/>
      </c>
    </row>
    <row r="465">
      <c r="A465" s="8" t="n"/>
      <c r="B465" s="7" t="n"/>
      <c r="C465" s="10" t="n"/>
      <c r="D465" s="11" t="n"/>
      <c r="E465" s="11" t="n"/>
      <c r="F465" s="11" t="n"/>
      <c r="G465" s="12">
        <f>IF($B465="","",IFERROR(INDEX('商品'!$C$4:$C$18,MATCH($B465,'商品'!$A$4:$A$18,0)),""))</f>
        <v/>
      </c>
      <c r="H465" s="12">
        <f>IF(OR($B465="",$G465=""),"",$G465*(N($D465)-N($F465)))</f>
        <v/>
      </c>
      <c r="I465" s="12">
        <f>IF($H465="","",$H465*'設定'!$C$4)</f>
        <v/>
      </c>
      <c r="J465" s="13">
        <f>IF(N($C465)=0,"",N($D465)/$C465)</f>
        <v/>
      </c>
      <c r="K465" s="13">
        <f>IF(N($D465)=0,"",N($E465)/$D465)</f>
        <v/>
      </c>
    </row>
    <row r="466">
      <c r="A466" s="8" t="n"/>
      <c r="B466" s="7" t="n"/>
      <c r="C466" s="10" t="n"/>
      <c r="D466" s="11" t="n"/>
      <c r="E466" s="11" t="n"/>
      <c r="F466" s="11" t="n"/>
      <c r="G466" s="12">
        <f>IF($B466="","",IFERROR(INDEX('商品'!$C$4:$C$18,MATCH($B466,'商品'!$A$4:$A$18,0)),""))</f>
        <v/>
      </c>
      <c r="H466" s="12">
        <f>IF(OR($B466="",$G466=""),"",$G466*(N($D466)-N($F466)))</f>
        <v/>
      </c>
      <c r="I466" s="12">
        <f>IF($H466="","",$H466*'設定'!$C$4)</f>
        <v/>
      </c>
      <c r="J466" s="13">
        <f>IF(N($C466)=0,"",N($D466)/$C466)</f>
        <v/>
      </c>
      <c r="K466" s="13">
        <f>IF(N($D466)=0,"",N($E466)/$D466)</f>
        <v/>
      </c>
    </row>
    <row r="467">
      <c r="A467" s="8" t="n"/>
      <c r="B467" s="7" t="n"/>
      <c r="C467" s="10" t="n"/>
      <c r="D467" s="11" t="n"/>
      <c r="E467" s="11" t="n"/>
      <c r="F467" s="11" t="n"/>
      <c r="G467" s="12">
        <f>IF($B467="","",IFERROR(INDEX('商品'!$C$4:$C$18,MATCH($B467,'商品'!$A$4:$A$18,0)),""))</f>
        <v/>
      </c>
      <c r="H467" s="12">
        <f>IF(OR($B467="",$G467=""),"",$G467*(N($D467)-N($F467)))</f>
        <v/>
      </c>
      <c r="I467" s="12">
        <f>IF($H467="","",$H467*'設定'!$C$4)</f>
        <v/>
      </c>
      <c r="J467" s="13">
        <f>IF(N($C467)=0,"",N($D467)/$C467)</f>
        <v/>
      </c>
      <c r="K467" s="13">
        <f>IF(N($D467)=0,"",N($E467)/$D467)</f>
        <v/>
      </c>
    </row>
    <row r="468">
      <c r="A468" s="8" t="n"/>
      <c r="B468" s="7" t="n"/>
      <c r="C468" s="10" t="n"/>
      <c r="D468" s="11" t="n"/>
      <c r="E468" s="11" t="n"/>
      <c r="F468" s="11" t="n"/>
      <c r="G468" s="12">
        <f>IF($B468="","",IFERROR(INDEX('商品'!$C$4:$C$18,MATCH($B468,'商品'!$A$4:$A$18,0)),""))</f>
        <v/>
      </c>
      <c r="H468" s="12">
        <f>IF(OR($B468="",$G468=""),"",$G468*(N($D468)-N($F468)))</f>
        <v/>
      </c>
      <c r="I468" s="12">
        <f>IF($H468="","",$H468*'設定'!$C$4)</f>
        <v/>
      </c>
      <c r="J468" s="13">
        <f>IF(N($C468)=0,"",N($D468)/$C468)</f>
        <v/>
      </c>
      <c r="K468" s="13">
        <f>IF(N($D468)=0,"",N($E468)/$D468)</f>
        <v/>
      </c>
    </row>
    <row r="469">
      <c r="A469" s="8" t="n"/>
      <c r="B469" s="7" t="n"/>
      <c r="C469" s="10" t="n"/>
      <c r="D469" s="11" t="n"/>
      <c r="E469" s="11" t="n"/>
      <c r="F469" s="11" t="n"/>
      <c r="G469" s="12">
        <f>IF($B469="","",IFERROR(INDEX('商品'!$C$4:$C$18,MATCH($B469,'商品'!$A$4:$A$18,0)),""))</f>
        <v/>
      </c>
      <c r="H469" s="12">
        <f>IF(OR($B469="",$G469=""),"",$G469*(N($D469)-N($F469)))</f>
        <v/>
      </c>
      <c r="I469" s="12">
        <f>IF($H469="","",$H469*'設定'!$C$4)</f>
        <v/>
      </c>
      <c r="J469" s="13">
        <f>IF(N($C469)=0,"",N($D469)/$C469)</f>
        <v/>
      </c>
      <c r="K469" s="13">
        <f>IF(N($D469)=0,"",N($E469)/$D469)</f>
        <v/>
      </c>
    </row>
    <row r="470">
      <c r="A470" s="8" t="n"/>
      <c r="B470" s="7" t="n"/>
      <c r="C470" s="10" t="n"/>
      <c r="D470" s="11" t="n"/>
      <c r="E470" s="11" t="n"/>
      <c r="F470" s="11" t="n"/>
      <c r="G470" s="12">
        <f>IF($B470="","",IFERROR(INDEX('商品'!$C$4:$C$18,MATCH($B470,'商品'!$A$4:$A$18,0)),""))</f>
        <v/>
      </c>
      <c r="H470" s="12">
        <f>IF(OR($B470="",$G470=""),"",$G470*(N($D470)-N($F470)))</f>
        <v/>
      </c>
      <c r="I470" s="12">
        <f>IF($H470="","",$H470*'設定'!$C$4)</f>
        <v/>
      </c>
      <c r="J470" s="13">
        <f>IF(N($C470)=0,"",N($D470)/$C470)</f>
        <v/>
      </c>
      <c r="K470" s="13">
        <f>IF(N($D470)=0,"",N($E470)/$D470)</f>
        <v/>
      </c>
    </row>
    <row r="471">
      <c r="A471" s="8" t="n"/>
      <c r="B471" s="7" t="n"/>
      <c r="C471" s="10" t="n"/>
      <c r="D471" s="11" t="n"/>
      <c r="E471" s="11" t="n"/>
      <c r="F471" s="11" t="n"/>
      <c r="G471" s="12">
        <f>IF($B471="","",IFERROR(INDEX('商品'!$C$4:$C$18,MATCH($B471,'商品'!$A$4:$A$18,0)),""))</f>
        <v/>
      </c>
      <c r="H471" s="12">
        <f>IF(OR($B471="",$G471=""),"",$G471*(N($D471)-N($F471)))</f>
        <v/>
      </c>
      <c r="I471" s="12">
        <f>IF($H471="","",$H471*'設定'!$C$4)</f>
        <v/>
      </c>
      <c r="J471" s="13">
        <f>IF(N($C471)=0,"",N($D471)/$C471)</f>
        <v/>
      </c>
      <c r="K471" s="13">
        <f>IF(N($D471)=0,"",N($E471)/$D471)</f>
        <v/>
      </c>
    </row>
    <row r="472">
      <c r="A472" s="8" t="n"/>
      <c r="B472" s="7" t="n"/>
      <c r="C472" s="10" t="n"/>
      <c r="D472" s="11" t="n"/>
      <c r="E472" s="11" t="n"/>
      <c r="F472" s="11" t="n"/>
      <c r="G472" s="12">
        <f>IF($B472="","",IFERROR(INDEX('商品'!$C$4:$C$18,MATCH($B472,'商品'!$A$4:$A$18,0)),""))</f>
        <v/>
      </c>
      <c r="H472" s="12">
        <f>IF(OR($B472="",$G472=""),"",$G472*(N($D472)-N($F472)))</f>
        <v/>
      </c>
      <c r="I472" s="12">
        <f>IF($H472="","",$H472*'設定'!$C$4)</f>
        <v/>
      </c>
      <c r="J472" s="13">
        <f>IF(N($C472)=0,"",N($D472)/$C472)</f>
        <v/>
      </c>
      <c r="K472" s="13">
        <f>IF(N($D472)=0,"",N($E472)/$D472)</f>
        <v/>
      </c>
    </row>
    <row r="473">
      <c r="A473" s="8" t="n"/>
      <c r="B473" s="7" t="n"/>
      <c r="C473" s="10" t="n"/>
      <c r="D473" s="11" t="n"/>
      <c r="E473" s="11" t="n"/>
      <c r="F473" s="11" t="n"/>
      <c r="G473" s="12">
        <f>IF($B473="","",IFERROR(INDEX('商品'!$C$4:$C$18,MATCH($B473,'商品'!$A$4:$A$18,0)),""))</f>
        <v/>
      </c>
      <c r="H473" s="12">
        <f>IF(OR($B473="",$G473=""),"",$G473*(N($D473)-N($F473)))</f>
        <v/>
      </c>
      <c r="I473" s="12">
        <f>IF($H473="","",$H473*'設定'!$C$4)</f>
        <v/>
      </c>
      <c r="J473" s="13">
        <f>IF(N($C473)=0,"",N($D473)/$C473)</f>
        <v/>
      </c>
      <c r="K473" s="13">
        <f>IF(N($D473)=0,"",N($E473)/$D473)</f>
        <v/>
      </c>
    </row>
    <row r="474">
      <c r="A474" s="8" t="n"/>
      <c r="B474" s="7" t="n"/>
      <c r="C474" s="10" t="n"/>
      <c r="D474" s="11" t="n"/>
      <c r="E474" s="11" t="n"/>
      <c r="F474" s="11" t="n"/>
      <c r="G474" s="12">
        <f>IF($B474="","",IFERROR(INDEX('商品'!$C$4:$C$18,MATCH($B474,'商品'!$A$4:$A$18,0)),""))</f>
        <v/>
      </c>
      <c r="H474" s="12">
        <f>IF(OR($B474="",$G474=""),"",$G474*(N($D474)-N($F474)))</f>
        <v/>
      </c>
      <c r="I474" s="12">
        <f>IF($H474="","",$H474*'設定'!$C$4)</f>
        <v/>
      </c>
      <c r="J474" s="13">
        <f>IF(N($C474)=0,"",N($D474)/$C474)</f>
        <v/>
      </c>
      <c r="K474" s="13">
        <f>IF(N($D474)=0,"",N($E474)/$D474)</f>
        <v/>
      </c>
    </row>
    <row r="475">
      <c r="A475" s="8" t="n"/>
      <c r="B475" s="7" t="n"/>
      <c r="C475" s="10" t="n"/>
      <c r="D475" s="11" t="n"/>
      <c r="E475" s="11" t="n"/>
      <c r="F475" s="11" t="n"/>
      <c r="G475" s="12">
        <f>IF($B475="","",IFERROR(INDEX('商品'!$C$4:$C$18,MATCH($B475,'商品'!$A$4:$A$18,0)),""))</f>
        <v/>
      </c>
      <c r="H475" s="12">
        <f>IF(OR($B475="",$G475=""),"",$G475*(N($D475)-N($F475)))</f>
        <v/>
      </c>
      <c r="I475" s="12">
        <f>IF($H475="","",$H475*'設定'!$C$4)</f>
        <v/>
      </c>
      <c r="J475" s="13">
        <f>IF(N($C475)=0,"",N($D475)/$C475)</f>
        <v/>
      </c>
      <c r="K475" s="13">
        <f>IF(N($D475)=0,"",N($E475)/$D475)</f>
        <v/>
      </c>
    </row>
    <row r="476">
      <c r="A476" s="8" t="n"/>
      <c r="B476" s="7" t="n"/>
      <c r="C476" s="10" t="n"/>
      <c r="D476" s="11" t="n"/>
      <c r="E476" s="11" t="n"/>
      <c r="F476" s="11" t="n"/>
      <c r="G476" s="12">
        <f>IF($B476="","",IFERROR(INDEX('商品'!$C$4:$C$18,MATCH($B476,'商品'!$A$4:$A$18,0)),""))</f>
        <v/>
      </c>
      <c r="H476" s="12">
        <f>IF(OR($B476="",$G476=""),"",$G476*(N($D476)-N($F476)))</f>
        <v/>
      </c>
      <c r="I476" s="12">
        <f>IF($H476="","",$H476*'設定'!$C$4)</f>
        <v/>
      </c>
      <c r="J476" s="13">
        <f>IF(N($C476)=0,"",N($D476)/$C476)</f>
        <v/>
      </c>
      <c r="K476" s="13">
        <f>IF(N($D476)=0,"",N($E476)/$D476)</f>
        <v/>
      </c>
    </row>
    <row r="477">
      <c r="A477" s="8" t="n"/>
      <c r="B477" s="7" t="n"/>
      <c r="C477" s="10" t="n"/>
      <c r="D477" s="11" t="n"/>
      <c r="E477" s="11" t="n"/>
      <c r="F477" s="11" t="n"/>
      <c r="G477" s="12">
        <f>IF($B477="","",IFERROR(INDEX('商品'!$C$4:$C$18,MATCH($B477,'商品'!$A$4:$A$18,0)),""))</f>
        <v/>
      </c>
      <c r="H477" s="12">
        <f>IF(OR($B477="",$G477=""),"",$G477*(N($D477)-N($F477)))</f>
        <v/>
      </c>
      <c r="I477" s="12">
        <f>IF($H477="","",$H477*'設定'!$C$4)</f>
        <v/>
      </c>
      <c r="J477" s="13">
        <f>IF(N($C477)=0,"",N($D477)/$C477)</f>
        <v/>
      </c>
      <c r="K477" s="13">
        <f>IF(N($D477)=0,"",N($E477)/$D477)</f>
        <v/>
      </c>
    </row>
    <row r="478">
      <c r="A478" s="8" t="n"/>
      <c r="B478" s="7" t="n"/>
      <c r="C478" s="10" t="n"/>
      <c r="D478" s="11" t="n"/>
      <c r="E478" s="11" t="n"/>
      <c r="F478" s="11" t="n"/>
      <c r="G478" s="12">
        <f>IF($B478="","",IFERROR(INDEX('商品'!$C$4:$C$18,MATCH($B478,'商品'!$A$4:$A$18,0)),""))</f>
        <v/>
      </c>
      <c r="H478" s="12">
        <f>IF(OR($B478="",$G478=""),"",$G478*(N($D478)-N($F478)))</f>
        <v/>
      </c>
      <c r="I478" s="12">
        <f>IF($H478="","",$H478*'設定'!$C$4)</f>
        <v/>
      </c>
      <c r="J478" s="13">
        <f>IF(N($C478)=0,"",N($D478)/$C478)</f>
        <v/>
      </c>
      <c r="K478" s="13">
        <f>IF(N($D478)=0,"",N($E478)/$D478)</f>
        <v/>
      </c>
    </row>
    <row r="479">
      <c r="A479" s="8" t="n"/>
      <c r="B479" s="7" t="n"/>
      <c r="C479" s="10" t="n"/>
      <c r="D479" s="11" t="n"/>
      <c r="E479" s="11" t="n"/>
      <c r="F479" s="11" t="n"/>
      <c r="G479" s="12">
        <f>IF($B479="","",IFERROR(INDEX('商品'!$C$4:$C$18,MATCH($B479,'商品'!$A$4:$A$18,0)),""))</f>
        <v/>
      </c>
      <c r="H479" s="12">
        <f>IF(OR($B479="",$G479=""),"",$G479*(N($D479)-N($F479)))</f>
        <v/>
      </c>
      <c r="I479" s="12">
        <f>IF($H479="","",$H479*'設定'!$C$4)</f>
        <v/>
      </c>
      <c r="J479" s="13">
        <f>IF(N($C479)=0,"",N($D479)/$C479)</f>
        <v/>
      </c>
      <c r="K479" s="13">
        <f>IF(N($D479)=0,"",N($E479)/$D479)</f>
        <v/>
      </c>
    </row>
    <row r="480">
      <c r="A480" s="8" t="n"/>
      <c r="B480" s="7" t="n"/>
      <c r="C480" s="10" t="n"/>
      <c r="D480" s="11" t="n"/>
      <c r="E480" s="11" t="n"/>
      <c r="F480" s="11" t="n"/>
      <c r="G480" s="12">
        <f>IF($B480="","",IFERROR(INDEX('商品'!$C$4:$C$18,MATCH($B480,'商品'!$A$4:$A$18,0)),""))</f>
        <v/>
      </c>
      <c r="H480" s="12">
        <f>IF(OR($B480="",$G480=""),"",$G480*(N($D480)-N($F480)))</f>
        <v/>
      </c>
      <c r="I480" s="12">
        <f>IF($H480="","",$H480*'設定'!$C$4)</f>
        <v/>
      </c>
      <c r="J480" s="13">
        <f>IF(N($C480)=0,"",N($D480)/$C480)</f>
        <v/>
      </c>
      <c r="K480" s="13">
        <f>IF(N($D480)=0,"",N($E480)/$D480)</f>
        <v/>
      </c>
    </row>
    <row r="481">
      <c r="A481" s="8" t="n"/>
      <c r="B481" s="7" t="n"/>
      <c r="C481" s="10" t="n"/>
      <c r="D481" s="11" t="n"/>
      <c r="E481" s="11" t="n"/>
      <c r="F481" s="11" t="n"/>
      <c r="G481" s="12">
        <f>IF($B481="","",IFERROR(INDEX('商品'!$C$4:$C$18,MATCH($B481,'商品'!$A$4:$A$18,0)),""))</f>
        <v/>
      </c>
      <c r="H481" s="12">
        <f>IF(OR($B481="",$G481=""),"",$G481*(N($D481)-N($F481)))</f>
        <v/>
      </c>
      <c r="I481" s="12">
        <f>IF($H481="","",$H481*'設定'!$C$4)</f>
        <v/>
      </c>
      <c r="J481" s="13">
        <f>IF(N($C481)=0,"",N($D481)/$C481)</f>
        <v/>
      </c>
      <c r="K481" s="13">
        <f>IF(N($D481)=0,"",N($E481)/$D481)</f>
        <v/>
      </c>
    </row>
    <row r="482">
      <c r="A482" s="8" t="n"/>
      <c r="B482" s="7" t="n"/>
      <c r="C482" s="10" t="n"/>
      <c r="D482" s="11" t="n"/>
      <c r="E482" s="11" t="n"/>
      <c r="F482" s="11" t="n"/>
      <c r="G482" s="12">
        <f>IF($B482="","",IFERROR(INDEX('商品'!$C$4:$C$18,MATCH($B482,'商品'!$A$4:$A$18,0)),""))</f>
        <v/>
      </c>
      <c r="H482" s="12">
        <f>IF(OR($B482="",$G482=""),"",$G482*(N($D482)-N($F482)))</f>
        <v/>
      </c>
      <c r="I482" s="12">
        <f>IF($H482="","",$H482*'設定'!$C$4)</f>
        <v/>
      </c>
      <c r="J482" s="13">
        <f>IF(N($C482)=0,"",N($D482)/$C482)</f>
        <v/>
      </c>
      <c r="K482" s="13">
        <f>IF(N($D482)=0,"",N($E482)/$D482)</f>
        <v/>
      </c>
    </row>
    <row r="483">
      <c r="A483" s="8" t="n"/>
      <c r="B483" s="7" t="n"/>
      <c r="C483" s="10" t="n"/>
      <c r="D483" s="11" t="n"/>
      <c r="E483" s="11" t="n"/>
      <c r="F483" s="11" t="n"/>
      <c r="G483" s="12">
        <f>IF($B483="","",IFERROR(INDEX('商品'!$C$4:$C$18,MATCH($B483,'商品'!$A$4:$A$18,0)),""))</f>
        <v/>
      </c>
      <c r="H483" s="12">
        <f>IF(OR($B483="",$G483=""),"",$G483*(N($D483)-N($F483)))</f>
        <v/>
      </c>
      <c r="I483" s="12">
        <f>IF($H483="","",$H483*'設定'!$C$4)</f>
        <v/>
      </c>
      <c r="J483" s="13">
        <f>IF(N($C483)=0,"",N($D483)/$C483)</f>
        <v/>
      </c>
      <c r="K483" s="13">
        <f>IF(N($D483)=0,"",N($E483)/$D483)</f>
        <v/>
      </c>
    </row>
    <row r="484">
      <c r="A484" s="8" t="n"/>
      <c r="B484" s="7" t="n"/>
      <c r="C484" s="10" t="n"/>
      <c r="D484" s="11" t="n"/>
      <c r="E484" s="11" t="n"/>
      <c r="F484" s="11" t="n"/>
      <c r="G484" s="12">
        <f>IF($B484="","",IFERROR(INDEX('商品'!$C$4:$C$18,MATCH($B484,'商品'!$A$4:$A$18,0)),""))</f>
        <v/>
      </c>
      <c r="H484" s="12">
        <f>IF(OR($B484="",$G484=""),"",$G484*(N($D484)-N($F484)))</f>
        <v/>
      </c>
      <c r="I484" s="12">
        <f>IF($H484="","",$H484*'設定'!$C$4)</f>
        <v/>
      </c>
      <c r="J484" s="13">
        <f>IF(N($C484)=0,"",N($D484)/$C484)</f>
        <v/>
      </c>
      <c r="K484" s="13">
        <f>IF(N($D484)=0,"",N($E484)/$D484)</f>
        <v/>
      </c>
    </row>
    <row r="485">
      <c r="A485" s="8" t="n"/>
      <c r="B485" s="7" t="n"/>
      <c r="C485" s="10" t="n"/>
      <c r="D485" s="11" t="n"/>
      <c r="E485" s="11" t="n"/>
      <c r="F485" s="11" t="n"/>
      <c r="G485" s="12">
        <f>IF($B485="","",IFERROR(INDEX('商品'!$C$4:$C$18,MATCH($B485,'商品'!$A$4:$A$18,0)),""))</f>
        <v/>
      </c>
      <c r="H485" s="12">
        <f>IF(OR($B485="",$G485=""),"",$G485*(N($D485)-N($F485)))</f>
        <v/>
      </c>
      <c r="I485" s="12">
        <f>IF($H485="","",$H485*'設定'!$C$4)</f>
        <v/>
      </c>
      <c r="J485" s="13">
        <f>IF(N($C485)=0,"",N($D485)/$C485)</f>
        <v/>
      </c>
      <c r="K485" s="13">
        <f>IF(N($D485)=0,"",N($E485)/$D485)</f>
        <v/>
      </c>
    </row>
    <row r="486">
      <c r="A486" s="8" t="n"/>
      <c r="B486" s="7" t="n"/>
      <c r="C486" s="10" t="n"/>
      <c r="D486" s="11" t="n"/>
      <c r="E486" s="11" t="n"/>
      <c r="F486" s="11" t="n"/>
      <c r="G486" s="12">
        <f>IF($B486="","",IFERROR(INDEX('商品'!$C$4:$C$18,MATCH($B486,'商品'!$A$4:$A$18,0)),""))</f>
        <v/>
      </c>
      <c r="H486" s="12">
        <f>IF(OR($B486="",$G486=""),"",$G486*(N($D486)-N($F486)))</f>
        <v/>
      </c>
      <c r="I486" s="12">
        <f>IF($H486="","",$H486*'設定'!$C$4)</f>
        <v/>
      </c>
      <c r="J486" s="13">
        <f>IF(N($C486)=0,"",N($D486)/$C486)</f>
        <v/>
      </c>
      <c r="K486" s="13">
        <f>IF(N($D486)=0,"",N($E486)/$D486)</f>
        <v/>
      </c>
    </row>
    <row r="487">
      <c r="A487" s="8" t="n"/>
      <c r="B487" s="7" t="n"/>
      <c r="C487" s="10" t="n"/>
      <c r="D487" s="11" t="n"/>
      <c r="E487" s="11" t="n"/>
      <c r="F487" s="11" t="n"/>
      <c r="G487" s="12">
        <f>IF($B487="","",IFERROR(INDEX('商品'!$C$4:$C$18,MATCH($B487,'商品'!$A$4:$A$18,0)),""))</f>
        <v/>
      </c>
      <c r="H487" s="12">
        <f>IF(OR($B487="",$G487=""),"",$G487*(N($D487)-N($F487)))</f>
        <v/>
      </c>
      <c r="I487" s="12">
        <f>IF($H487="","",$H487*'設定'!$C$4)</f>
        <v/>
      </c>
      <c r="J487" s="13">
        <f>IF(N($C487)=0,"",N($D487)/$C487)</f>
        <v/>
      </c>
      <c r="K487" s="13">
        <f>IF(N($D487)=0,"",N($E487)/$D487)</f>
        <v/>
      </c>
    </row>
    <row r="488">
      <c r="A488" s="8" t="n"/>
      <c r="B488" s="7" t="n"/>
      <c r="C488" s="10" t="n"/>
      <c r="D488" s="11" t="n"/>
      <c r="E488" s="11" t="n"/>
      <c r="F488" s="11" t="n"/>
      <c r="G488" s="12">
        <f>IF($B488="","",IFERROR(INDEX('商品'!$C$4:$C$18,MATCH($B488,'商品'!$A$4:$A$18,0)),""))</f>
        <v/>
      </c>
      <c r="H488" s="12">
        <f>IF(OR($B488="",$G488=""),"",$G488*(N($D488)-N($F488)))</f>
        <v/>
      </c>
      <c r="I488" s="12">
        <f>IF($H488="","",$H488*'設定'!$C$4)</f>
        <v/>
      </c>
      <c r="J488" s="13">
        <f>IF(N($C488)=0,"",N($D488)/$C488)</f>
        <v/>
      </c>
      <c r="K488" s="13">
        <f>IF(N($D488)=0,"",N($E488)/$D488)</f>
        <v/>
      </c>
    </row>
    <row r="489">
      <c r="A489" s="8" t="n"/>
      <c r="B489" s="7" t="n"/>
      <c r="C489" s="10" t="n"/>
      <c r="D489" s="11" t="n"/>
      <c r="E489" s="11" t="n"/>
      <c r="F489" s="11" t="n"/>
      <c r="G489" s="12">
        <f>IF($B489="","",IFERROR(INDEX('商品'!$C$4:$C$18,MATCH($B489,'商品'!$A$4:$A$18,0)),""))</f>
        <v/>
      </c>
      <c r="H489" s="12">
        <f>IF(OR($B489="",$G489=""),"",$G489*(N($D489)-N($F489)))</f>
        <v/>
      </c>
      <c r="I489" s="12">
        <f>IF($H489="","",$H489*'設定'!$C$4)</f>
        <v/>
      </c>
      <c r="J489" s="13">
        <f>IF(N($C489)=0,"",N($D489)/$C489)</f>
        <v/>
      </c>
      <c r="K489" s="13">
        <f>IF(N($D489)=0,"",N($E489)/$D489)</f>
        <v/>
      </c>
    </row>
    <row r="490">
      <c r="A490" s="8" t="n"/>
      <c r="B490" s="7" t="n"/>
      <c r="C490" s="10" t="n"/>
      <c r="D490" s="11" t="n"/>
      <c r="E490" s="11" t="n"/>
      <c r="F490" s="11" t="n"/>
      <c r="G490" s="12">
        <f>IF($B490="","",IFERROR(INDEX('商品'!$C$4:$C$18,MATCH($B490,'商品'!$A$4:$A$18,0)),""))</f>
        <v/>
      </c>
      <c r="H490" s="12">
        <f>IF(OR($B490="",$G490=""),"",$G490*(N($D490)-N($F490)))</f>
        <v/>
      </c>
      <c r="I490" s="12">
        <f>IF($H490="","",$H490*'設定'!$C$4)</f>
        <v/>
      </c>
      <c r="J490" s="13">
        <f>IF(N($C490)=0,"",N($D490)/$C490)</f>
        <v/>
      </c>
      <c r="K490" s="13">
        <f>IF(N($D490)=0,"",N($E490)/$D490)</f>
        <v/>
      </c>
    </row>
    <row r="491">
      <c r="A491" s="8" t="n"/>
      <c r="B491" s="7" t="n"/>
      <c r="C491" s="10" t="n"/>
      <c r="D491" s="11" t="n"/>
      <c r="E491" s="11" t="n"/>
      <c r="F491" s="11" t="n"/>
      <c r="G491" s="12">
        <f>IF($B491="","",IFERROR(INDEX('商品'!$C$4:$C$18,MATCH($B491,'商品'!$A$4:$A$18,0)),""))</f>
        <v/>
      </c>
      <c r="H491" s="12">
        <f>IF(OR($B491="",$G491=""),"",$G491*(N($D491)-N($F491)))</f>
        <v/>
      </c>
      <c r="I491" s="12">
        <f>IF($H491="","",$H491*'設定'!$C$4)</f>
        <v/>
      </c>
      <c r="J491" s="13">
        <f>IF(N($C491)=0,"",N($D491)/$C491)</f>
        <v/>
      </c>
      <c r="K491" s="13">
        <f>IF(N($D491)=0,"",N($E491)/$D491)</f>
        <v/>
      </c>
    </row>
    <row r="492">
      <c r="A492" s="8" t="n"/>
      <c r="B492" s="7" t="n"/>
      <c r="C492" s="10" t="n"/>
      <c r="D492" s="11" t="n"/>
      <c r="E492" s="11" t="n"/>
      <c r="F492" s="11" t="n"/>
      <c r="G492" s="12">
        <f>IF($B492="","",IFERROR(INDEX('商品'!$C$4:$C$18,MATCH($B492,'商品'!$A$4:$A$18,0)),""))</f>
        <v/>
      </c>
      <c r="H492" s="12">
        <f>IF(OR($B492="",$G492=""),"",$G492*(N($D492)-N($F492)))</f>
        <v/>
      </c>
      <c r="I492" s="12">
        <f>IF($H492="","",$H492*'設定'!$C$4)</f>
        <v/>
      </c>
      <c r="J492" s="13">
        <f>IF(N($C492)=0,"",N($D492)/$C492)</f>
        <v/>
      </c>
      <c r="K492" s="13">
        <f>IF(N($D492)=0,"",N($E492)/$D492)</f>
        <v/>
      </c>
    </row>
    <row r="493">
      <c r="A493" s="8" t="n"/>
      <c r="B493" s="7" t="n"/>
      <c r="C493" s="10" t="n"/>
      <c r="D493" s="11" t="n"/>
      <c r="E493" s="11" t="n"/>
      <c r="F493" s="11" t="n"/>
      <c r="G493" s="12">
        <f>IF($B493="","",IFERROR(INDEX('商品'!$C$4:$C$18,MATCH($B493,'商品'!$A$4:$A$18,0)),""))</f>
        <v/>
      </c>
      <c r="H493" s="12">
        <f>IF(OR($B493="",$G493=""),"",$G493*(N($D493)-N($F493)))</f>
        <v/>
      </c>
      <c r="I493" s="12">
        <f>IF($H493="","",$H493*'設定'!$C$4)</f>
        <v/>
      </c>
      <c r="J493" s="13">
        <f>IF(N($C493)=0,"",N($D493)/$C493)</f>
        <v/>
      </c>
      <c r="K493" s="13">
        <f>IF(N($D493)=0,"",N($E493)/$D493)</f>
        <v/>
      </c>
    </row>
    <row r="494">
      <c r="A494" s="8" t="n"/>
      <c r="B494" s="7" t="n"/>
      <c r="C494" s="10" t="n"/>
      <c r="D494" s="11" t="n"/>
      <c r="E494" s="11" t="n"/>
      <c r="F494" s="11" t="n"/>
      <c r="G494" s="12">
        <f>IF($B494="","",IFERROR(INDEX('商品'!$C$4:$C$18,MATCH($B494,'商品'!$A$4:$A$18,0)),""))</f>
        <v/>
      </c>
      <c r="H494" s="12">
        <f>IF(OR($B494="",$G494=""),"",$G494*(N($D494)-N($F494)))</f>
        <v/>
      </c>
      <c r="I494" s="12">
        <f>IF($H494="","",$H494*'設定'!$C$4)</f>
        <v/>
      </c>
      <c r="J494" s="13">
        <f>IF(N($C494)=0,"",N($D494)/$C494)</f>
        <v/>
      </c>
      <c r="K494" s="13">
        <f>IF(N($D494)=0,"",N($E494)/$D494)</f>
        <v/>
      </c>
    </row>
    <row r="495">
      <c r="A495" s="8" t="n"/>
      <c r="B495" s="7" t="n"/>
      <c r="C495" s="10" t="n"/>
      <c r="D495" s="11" t="n"/>
      <c r="E495" s="11" t="n"/>
      <c r="F495" s="11" t="n"/>
      <c r="G495" s="12">
        <f>IF($B495="","",IFERROR(INDEX('商品'!$C$4:$C$18,MATCH($B495,'商品'!$A$4:$A$18,0)),""))</f>
        <v/>
      </c>
      <c r="H495" s="12">
        <f>IF(OR($B495="",$G495=""),"",$G495*(N($D495)-N($F495)))</f>
        <v/>
      </c>
      <c r="I495" s="12">
        <f>IF($H495="","",$H495*'設定'!$C$4)</f>
        <v/>
      </c>
      <c r="J495" s="13">
        <f>IF(N($C495)=0,"",N($D495)/$C495)</f>
        <v/>
      </c>
      <c r="K495" s="13">
        <f>IF(N($D495)=0,"",N($E495)/$D495)</f>
        <v/>
      </c>
    </row>
    <row r="496">
      <c r="A496" s="8" t="n"/>
      <c r="B496" s="7" t="n"/>
      <c r="C496" s="10" t="n"/>
      <c r="D496" s="11" t="n"/>
      <c r="E496" s="11" t="n"/>
      <c r="F496" s="11" t="n"/>
      <c r="G496" s="12">
        <f>IF($B496="","",IFERROR(INDEX('商品'!$C$4:$C$18,MATCH($B496,'商品'!$A$4:$A$18,0)),""))</f>
        <v/>
      </c>
      <c r="H496" s="12">
        <f>IF(OR($B496="",$G496=""),"",$G496*(N($D496)-N($F496)))</f>
        <v/>
      </c>
      <c r="I496" s="12">
        <f>IF($H496="","",$H496*'設定'!$C$4)</f>
        <v/>
      </c>
      <c r="J496" s="13">
        <f>IF(N($C496)=0,"",N($D496)/$C496)</f>
        <v/>
      </c>
      <c r="K496" s="13">
        <f>IF(N($D496)=0,"",N($E496)/$D496)</f>
        <v/>
      </c>
    </row>
    <row r="497">
      <c r="A497" s="8" t="n"/>
      <c r="B497" s="7" t="n"/>
      <c r="C497" s="10" t="n"/>
      <c r="D497" s="11" t="n"/>
      <c r="E497" s="11" t="n"/>
      <c r="F497" s="11" t="n"/>
      <c r="G497" s="12">
        <f>IF($B497="","",IFERROR(INDEX('商品'!$C$4:$C$18,MATCH($B497,'商品'!$A$4:$A$18,0)),""))</f>
        <v/>
      </c>
      <c r="H497" s="12">
        <f>IF(OR($B497="",$G497=""),"",$G497*(N($D497)-N($F497)))</f>
        <v/>
      </c>
      <c r="I497" s="12">
        <f>IF($H497="","",$H497*'設定'!$C$4)</f>
        <v/>
      </c>
      <c r="J497" s="13">
        <f>IF(N($C497)=0,"",N($D497)/$C497)</f>
        <v/>
      </c>
      <c r="K497" s="13">
        <f>IF(N($D497)=0,"",N($E497)/$D497)</f>
        <v/>
      </c>
    </row>
    <row r="498">
      <c r="A498" s="8" t="n"/>
      <c r="B498" s="7" t="n"/>
      <c r="C498" s="10" t="n"/>
      <c r="D498" s="11" t="n"/>
      <c r="E498" s="11" t="n"/>
      <c r="F498" s="11" t="n"/>
      <c r="G498" s="12">
        <f>IF($B498="","",IFERROR(INDEX('商品'!$C$4:$C$18,MATCH($B498,'商品'!$A$4:$A$18,0)),""))</f>
        <v/>
      </c>
      <c r="H498" s="12">
        <f>IF(OR($B498="",$G498=""),"",$G498*(N($D498)-N($F498)))</f>
        <v/>
      </c>
      <c r="I498" s="12">
        <f>IF($H498="","",$H498*'設定'!$C$4)</f>
        <v/>
      </c>
      <c r="J498" s="13">
        <f>IF(N($C498)=0,"",N($D498)/$C498)</f>
        <v/>
      </c>
      <c r="K498" s="13">
        <f>IF(N($D498)=0,"",N($E498)/$D498)</f>
        <v/>
      </c>
    </row>
    <row r="499">
      <c r="A499" s="8" t="n"/>
      <c r="B499" s="7" t="n"/>
      <c r="C499" s="10" t="n"/>
      <c r="D499" s="11" t="n"/>
      <c r="E499" s="11" t="n"/>
      <c r="F499" s="11" t="n"/>
      <c r="G499" s="12">
        <f>IF($B499="","",IFERROR(INDEX('商品'!$C$4:$C$18,MATCH($B499,'商品'!$A$4:$A$18,0)),""))</f>
        <v/>
      </c>
      <c r="H499" s="12">
        <f>IF(OR($B499="",$G499=""),"",$G499*(N($D499)-N($F499)))</f>
        <v/>
      </c>
      <c r="I499" s="12">
        <f>IF($H499="","",$H499*'設定'!$C$4)</f>
        <v/>
      </c>
      <c r="J499" s="13">
        <f>IF(N($C499)=0,"",N($D499)/$C499)</f>
        <v/>
      </c>
      <c r="K499" s="13">
        <f>IF(N($D499)=0,"",N($E499)/$D499)</f>
        <v/>
      </c>
    </row>
    <row r="500">
      <c r="A500" s="8" t="n"/>
      <c r="B500" s="7" t="n"/>
      <c r="C500" s="10" t="n"/>
      <c r="D500" s="11" t="n"/>
      <c r="E500" s="11" t="n"/>
      <c r="F500" s="11" t="n"/>
      <c r="G500" s="12">
        <f>IF($B500="","",IFERROR(INDEX('商品'!$C$4:$C$18,MATCH($B500,'商品'!$A$4:$A$18,0)),""))</f>
        <v/>
      </c>
      <c r="H500" s="12">
        <f>IF(OR($B500="",$G500=""),"",$G500*(N($D500)-N($F500)))</f>
        <v/>
      </c>
      <c r="I500" s="12">
        <f>IF($H500="","",$H500*'設定'!$C$4)</f>
        <v/>
      </c>
      <c r="J500" s="13">
        <f>IF(N($C500)=0,"",N($D500)/$C500)</f>
        <v/>
      </c>
      <c r="K500" s="13">
        <f>IF(N($D500)=0,"",N($E500)/$D500)</f>
        <v/>
      </c>
    </row>
    <row r="501">
      <c r="A501" s="8" t="n"/>
      <c r="B501" s="7" t="n"/>
      <c r="C501" s="10" t="n"/>
      <c r="D501" s="11" t="n"/>
      <c r="E501" s="11" t="n"/>
      <c r="F501" s="11" t="n"/>
      <c r="G501" s="12">
        <f>IF($B501="","",IFERROR(INDEX('商品'!$C$4:$C$18,MATCH($B501,'商品'!$A$4:$A$18,0)),""))</f>
        <v/>
      </c>
      <c r="H501" s="12">
        <f>IF(OR($B501="",$G501=""),"",$G501*(N($D501)-N($F501)))</f>
        <v/>
      </c>
      <c r="I501" s="12">
        <f>IF($H501="","",$H501*'設定'!$C$4)</f>
        <v/>
      </c>
      <c r="J501" s="13">
        <f>IF(N($C501)=0,"",N($D501)/$C501)</f>
        <v/>
      </c>
      <c r="K501" s="13">
        <f>IF(N($D501)=0,"",N($E501)/$D501)</f>
        <v/>
      </c>
    </row>
    <row r="502">
      <c r="A502" s="8" t="n"/>
      <c r="B502" s="7" t="n"/>
      <c r="C502" s="10" t="n"/>
      <c r="D502" s="11" t="n"/>
      <c r="E502" s="11" t="n"/>
      <c r="F502" s="11" t="n"/>
      <c r="G502" s="12">
        <f>IF($B502="","",IFERROR(INDEX('商品'!$C$4:$C$18,MATCH($B502,'商品'!$A$4:$A$18,0)),""))</f>
        <v/>
      </c>
      <c r="H502" s="12">
        <f>IF(OR($B502="",$G502=""),"",$G502*(N($D502)-N($F502)))</f>
        <v/>
      </c>
      <c r="I502" s="12">
        <f>IF($H502="","",$H502*'設定'!$C$4)</f>
        <v/>
      </c>
      <c r="J502" s="13">
        <f>IF(N($C502)=0,"",N($D502)/$C502)</f>
        <v/>
      </c>
      <c r="K502" s="13">
        <f>IF(N($D502)=0,"",N($E502)/$D502)</f>
        <v/>
      </c>
    </row>
    <row r="503">
      <c r="A503" s="8" t="n"/>
      <c r="B503" s="7" t="n"/>
      <c r="C503" s="10" t="n"/>
      <c r="D503" s="11" t="n"/>
      <c r="E503" s="11" t="n"/>
      <c r="F503" s="11" t="n"/>
      <c r="G503" s="12">
        <f>IF($B503="","",IFERROR(INDEX('商品'!$C$4:$C$18,MATCH($B503,'商品'!$A$4:$A$18,0)),""))</f>
        <v/>
      </c>
      <c r="H503" s="12">
        <f>IF(OR($B503="",$G503=""),"",$G503*(N($D503)-N($F503)))</f>
        <v/>
      </c>
      <c r="I503" s="12">
        <f>IF($H503="","",$H503*'設定'!$C$4)</f>
        <v/>
      </c>
      <c r="J503" s="13">
        <f>IF(N($C503)=0,"",N($D503)/$C503)</f>
        <v/>
      </c>
      <c r="K503" s="13">
        <f>IF(N($D503)=0,"",N($E503)/$D503)</f>
        <v/>
      </c>
    </row>
    <row r="504">
      <c r="A504" s="8" t="n"/>
      <c r="B504" s="7" t="n"/>
      <c r="C504" s="10" t="n"/>
      <c r="D504" s="11" t="n"/>
      <c r="E504" s="11" t="n"/>
      <c r="F504" s="11" t="n"/>
      <c r="G504" s="12">
        <f>IF($B504="","",IFERROR(INDEX('商品'!$C$4:$C$18,MATCH($B504,'商品'!$A$4:$A$18,0)),""))</f>
        <v/>
      </c>
      <c r="H504" s="12">
        <f>IF(OR($B504="",$G504=""),"",$G504*(N($D504)-N($F504)))</f>
        <v/>
      </c>
      <c r="I504" s="12">
        <f>IF($H504="","",$H504*'設定'!$C$4)</f>
        <v/>
      </c>
      <c r="J504" s="13">
        <f>IF(N($C504)=0,"",N($D504)/$C504)</f>
        <v/>
      </c>
      <c r="K504" s="13">
        <f>IF(N($D504)=0,"",N($E504)/$D504)</f>
        <v/>
      </c>
    </row>
  </sheetData>
  <dataValidations count="1">
    <dataValidation sqref="B5:B504" showDropDown="0" showInputMessage="0" showErrorMessage="0" allowBlank="1" type="list">
      <formula1>'商品'!$A$4:$A$18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9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月次の成績と、目標までの距離</t>
        </is>
      </c>
    </row>
    <row r="3" ht="32" customHeight="1">
      <c r="A3" s="6" t="inlineStr">
        <is>
          <t>月</t>
        </is>
      </c>
      <c r="B3" s="6" t="inlineStr">
        <is>
          <t>フォロワー</t>
        </is>
      </c>
      <c r="C3" s="6" t="inlineStr">
        <is>
          <t>全体ビュー</t>
        </is>
      </c>
      <c r="D3" s="6" t="inlineStr">
        <is>
          <t>メンバー数</t>
        </is>
      </c>
      <c r="E3" s="6" t="inlineStr">
        <is>
          <t>メンバー
月額</t>
        </is>
      </c>
      <c r="F3" s="9" t="inlineStr">
        <is>
          <t>単品の売上</t>
        </is>
      </c>
      <c r="G3" s="9" t="inlineStr">
        <is>
          <t>メンバーの売上</t>
        </is>
      </c>
      <c r="H3" s="9" t="inlineStr">
        <is>
          <t>売上合計</t>
        </is>
      </c>
      <c r="I3" s="9" t="inlineStr">
        <is>
          <t>手取り見込み</t>
        </is>
      </c>
      <c r="J3" s="9" t="inlineStr">
        <is>
          <t>目標の達成率</t>
        </is>
      </c>
      <c r="K3" s="9" t="inlineStr">
        <is>
          <t>単品の購入数</t>
        </is>
      </c>
      <c r="L3" s="9" t="inlineStr">
        <is>
          <t>単品の購入率</t>
        </is>
      </c>
    </row>
    <row r="4">
      <c r="A4" s="14" t="n">
        <v>46266</v>
      </c>
      <c r="B4" s="10" t="n"/>
      <c r="C4" s="10" t="n"/>
      <c r="D4" s="10" t="n"/>
      <c r="E4" s="5" t="n">
        <v>1480</v>
      </c>
      <c r="F4" s="12">
        <f>SUMIFS('週次'!$H$5:$H$504,'週次'!$A$5:$A$504,"&gt;="&amp;$A4,'週次'!$A$5:$A$504,"&lt;"&amp;EDATE($A4,1))</f>
        <v/>
      </c>
      <c r="G4" s="12">
        <f>N(D4)*N(E4)</f>
        <v/>
      </c>
      <c r="H4" s="12">
        <f>F4+G4</f>
        <v/>
      </c>
      <c r="I4" s="12">
        <f>H4*'設定'!$C$4</f>
        <v/>
      </c>
      <c r="J4" s="13">
        <f>IF('設定'!$C$5&gt;0,I4/'設定'!$C$5,0)</f>
        <v/>
      </c>
      <c r="K4" s="15">
        <f>SUMIFS('週次'!$D$5:$D$504,'週次'!$A$5:$A$504,"&gt;="&amp;$A4,'週次'!$A$5:$A$504,"&lt;"&amp;EDATE($A4,1))</f>
        <v/>
      </c>
      <c r="L4" s="13">
        <f>IFERROR(K4/SUMIFS('週次'!$C$5:$C$504,'週次'!$A$5:$A$504,"&gt;="&amp;$A4,'週次'!$A$5:$A$504,"&lt;"&amp;EDATE($A4,1)),"")</f>
        <v/>
      </c>
    </row>
    <row r="5">
      <c r="A5" s="16">
        <f>EDATE(A4,1)</f>
        <v/>
      </c>
      <c r="B5" s="10" t="n"/>
      <c r="C5" s="10" t="n"/>
      <c r="D5" s="10" t="n"/>
      <c r="E5" s="5" t="n">
        <v>1480</v>
      </c>
      <c r="F5" s="12">
        <f>SUMIFS('週次'!$H$5:$H$504,'週次'!$A$5:$A$504,"&gt;="&amp;$A5,'週次'!$A$5:$A$504,"&lt;"&amp;EDATE($A5,1))</f>
        <v/>
      </c>
      <c r="G5" s="12">
        <f>N(D5)*N(E5)</f>
        <v/>
      </c>
      <c r="H5" s="12">
        <f>F5+G5</f>
        <v/>
      </c>
      <c r="I5" s="12">
        <f>H5*'設定'!$C$4</f>
        <v/>
      </c>
      <c r="J5" s="13">
        <f>IF('設定'!$C$5&gt;0,I5/'設定'!$C$5,0)</f>
        <v/>
      </c>
      <c r="K5" s="15">
        <f>SUMIFS('週次'!$D$5:$D$504,'週次'!$A$5:$A$504,"&gt;="&amp;$A5,'週次'!$A$5:$A$504,"&lt;"&amp;EDATE($A5,1))</f>
        <v/>
      </c>
      <c r="L5" s="13">
        <f>IFERROR(K5/SUMIFS('週次'!$C$5:$C$504,'週次'!$A$5:$A$504,"&gt;="&amp;$A5,'週次'!$A$5:$A$504,"&lt;"&amp;EDATE($A5,1)),"")</f>
        <v/>
      </c>
    </row>
    <row r="6">
      <c r="A6" s="16">
        <f>EDATE(A5,1)</f>
        <v/>
      </c>
      <c r="B6" s="10" t="n"/>
      <c r="C6" s="10" t="n"/>
      <c r="D6" s="10" t="n"/>
      <c r="E6" s="5" t="n">
        <v>1480</v>
      </c>
      <c r="F6" s="12">
        <f>SUMIFS('週次'!$H$5:$H$504,'週次'!$A$5:$A$504,"&gt;="&amp;$A6,'週次'!$A$5:$A$504,"&lt;"&amp;EDATE($A6,1))</f>
        <v/>
      </c>
      <c r="G6" s="12">
        <f>N(D6)*N(E6)</f>
        <v/>
      </c>
      <c r="H6" s="12">
        <f>F6+G6</f>
        <v/>
      </c>
      <c r="I6" s="12">
        <f>H6*'設定'!$C$4</f>
        <v/>
      </c>
      <c r="J6" s="13">
        <f>IF('設定'!$C$5&gt;0,I6/'設定'!$C$5,0)</f>
        <v/>
      </c>
      <c r="K6" s="15">
        <f>SUMIFS('週次'!$D$5:$D$504,'週次'!$A$5:$A$504,"&gt;="&amp;$A6,'週次'!$A$5:$A$504,"&lt;"&amp;EDATE($A6,1))</f>
        <v/>
      </c>
      <c r="L6" s="13">
        <f>IFERROR(K6/SUMIFS('週次'!$C$5:$C$504,'週次'!$A$5:$A$504,"&gt;="&amp;$A6,'週次'!$A$5:$A$504,"&lt;"&amp;EDATE($A6,1)),"")</f>
        <v/>
      </c>
    </row>
    <row r="7">
      <c r="A7" s="16">
        <f>EDATE(A6,1)</f>
        <v/>
      </c>
      <c r="B7" s="10" t="n"/>
      <c r="C7" s="10" t="n"/>
      <c r="D7" s="10" t="n"/>
      <c r="E7" s="5" t="n">
        <v>1480</v>
      </c>
      <c r="F7" s="12">
        <f>SUMIFS('週次'!$H$5:$H$504,'週次'!$A$5:$A$504,"&gt;="&amp;$A7,'週次'!$A$5:$A$504,"&lt;"&amp;EDATE($A7,1))</f>
        <v/>
      </c>
      <c r="G7" s="12">
        <f>N(D7)*N(E7)</f>
        <v/>
      </c>
      <c r="H7" s="12">
        <f>F7+G7</f>
        <v/>
      </c>
      <c r="I7" s="12">
        <f>H7*'設定'!$C$4</f>
        <v/>
      </c>
      <c r="J7" s="13">
        <f>IF('設定'!$C$5&gt;0,I7/'設定'!$C$5,0)</f>
        <v/>
      </c>
      <c r="K7" s="15">
        <f>SUMIFS('週次'!$D$5:$D$504,'週次'!$A$5:$A$504,"&gt;="&amp;$A7,'週次'!$A$5:$A$504,"&lt;"&amp;EDATE($A7,1))</f>
        <v/>
      </c>
      <c r="L7" s="13">
        <f>IFERROR(K7/SUMIFS('週次'!$C$5:$C$504,'週次'!$A$5:$A$504,"&gt;="&amp;$A7,'週次'!$A$5:$A$504,"&lt;"&amp;EDATE($A7,1)),"")</f>
        <v/>
      </c>
    </row>
    <row r="8">
      <c r="A8" s="16">
        <f>EDATE(A7,1)</f>
        <v/>
      </c>
      <c r="B8" s="10" t="n"/>
      <c r="C8" s="10" t="n"/>
      <c r="D8" s="10" t="n"/>
      <c r="E8" s="5" t="n">
        <v>1480</v>
      </c>
      <c r="F8" s="12">
        <f>SUMIFS('週次'!$H$5:$H$504,'週次'!$A$5:$A$504,"&gt;="&amp;$A8,'週次'!$A$5:$A$504,"&lt;"&amp;EDATE($A8,1))</f>
        <v/>
      </c>
      <c r="G8" s="12">
        <f>N(D8)*N(E8)</f>
        <v/>
      </c>
      <c r="H8" s="12">
        <f>F8+G8</f>
        <v/>
      </c>
      <c r="I8" s="12">
        <f>H8*'設定'!$C$4</f>
        <v/>
      </c>
      <c r="J8" s="13">
        <f>IF('設定'!$C$5&gt;0,I8/'設定'!$C$5,0)</f>
        <v/>
      </c>
      <c r="K8" s="15">
        <f>SUMIFS('週次'!$D$5:$D$504,'週次'!$A$5:$A$504,"&gt;="&amp;$A8,'週次'!$A$5:$A$504,"&lt;"&amp;EDATE($A8,1))</f>
        <v/>
      </c>
      <c r="L8" s="13">
        <f>IFERROR(K8/SUMIFS('週次'!$C$5:$C$504,'週次'!$A$5:$A$504,"&gt;="&amp;$A8,'週次'!$A$5:$A$504,"&lt;"&amp;EDATE($A8,1)),"")</f>
        <v/>
      </c>
    </row>
    <row r="9">
      <c r="A9" s="16">
        <f>EDATE(A8,1)</f>
        <v/>
      </c>
      <c r="B9" s="10" t="n"/>
      <c r="C9" s="10" t="n"/>
      <c r="D9" s="10" t="n"/>
      <c r="E9" s="5" t="n">
        <v>1480</v>
      </c>
      <c r="F9" s="12">
        <f>SUMIFS('週次'!$H$5:$H$504,'週次'!$A$5:$A$504,"&gt;="&amp;$A9,'週次'!$A$5:$A$504,"&lt;"&amp;EDATE($A9,1))</f>
        <v/>
      </c>
      <c r="G9" s="12">
        <f>N(D9)*N(E9)</f>
        <v/>
      </c>
      <c r="H9" s="12">
        <f>F9+G9</f>
        <v/>
      </c>
      <c r="I9" s="12">
        <f>H9*'設定'!$C$4</f>
        <v/>
      </c>
      <c r="J9" s="13">
        <f>IF('設定'!$C$5&gt;0,I9/'設定'!$C$5,0)</f>
        <v/>
      </c>
      <c r="K9" s="15">
        <f>SUMIFS('週次'!$D$5:$D$504,'週次'!$A$5:$A$504,"&gt;="&amp;$A9,'週次'!$A$5:$A$504,"&lt;"&amp;EDATE($A9,1))</f>
        <v/>
      </c>
      <c r="L9" s="13">
        <f>IFERROR(K9/SUMIFS('週次'!$C$5:$C$504,'週次'!$A$5:$A$504,"&gt;="&amp;$A9,'週次'!$A$5:$A$504,"&lt;"&amp;EDATE($A9,1)),"")</f>
        <v/>
      </c>
    </row>
    <row r="10">
      <c r="A10" s="16">
        <f>EDATE(A9,1)</f>
        <v/>
      </c>
      <c r="B10" s="10" t="n"/>
      <c r="C10" s="10" t="n"/>
      <c r="D10" s="10" t="n"/>
      <c r="E10" s="5" t="n">
        <v>1480</v>
      </c>
      <c r="F10" s="12">
        <f>SUMIFS('週次'!$H$5:$H$504,'週次'!$A$5:$A$504,"&gt;="&amp;$A10,'週次'!$A$5:$A$504,"&lt;"&amp;EDATE($A10,1))</f>
        <v/>
      </c>
      <c r="G10" s="12">
        <f>N(D10)*N(E10)</f>
        <v/>
      </c>
      <c r="H10" s="12">
        <f>F10+G10</f>
        <v/>
      </c>
      <c r="I10" s="12">
        <f>H10*'設定'!$C$4</f>
        <v/>
      </c>
      <c r="J10" s="13">
        <f>IF('設定'!$C$5&gt;0,I10/'設定'!$C$5,0)</f>
        <v/>
      </c>
      <c r="K10" s="15">
        <f>SUMIFS('週次'!$D$5:$D$504,'週次'!$A$5:$A$504,"&gt;="&amp;$A10,'週次'!$A$5:$A$504,"&lt;"&amp;EDATE($A10,1))</f>
        <v/>
      </c>
      <c r="L10" s="13">
        <f>IFERROR(K10/SUMIFS('週次'!$C$5:$C$504,'週次'!$A$5:$A$504,"&gt;="&amp;$A10,'週次'!$A$5:$A$504,"&lt;"&amp;EDATE($A10,1)),"")</f>
        <v/>
      </c>
    </row>
    <row r="11">
      <c r="A11" s="16">
        <f>EDATE(A10,1)</f>
        <v/>
      </c>
      <c r="B11" s="10" t="n"/>
      <c r="C11" s="10" t="n"/>
      <c r="D11" s="10" t="n"/>
      <c r="E11" s="5" t="n">
        <v>1480</v>
      </c>
      <c r="F11" s="12">
        <f>SUMIFS('週次'!$H$5:$H$504,'週次'!$A$5:$A$504,"&gt;="&amp;$A11,'週次'!$A$5:$A$504,"&lt;"&amp;EDATE($A11,1))</f>
        <v/>
      </c>
      <c r="G11" s="12">
        <f>N(D11)*N(E11)</f>
        <v/>
      </c>
      <c r="H11" s="12">
        <f>F11+G11</f>
        <v/>
      </c>
      <c r="I11" s="12">
        <f>H11*'設定'!$C$4</f>
        <v/>
      </c>
      <c r="J11" s="13">
        <f>IF('設定'!$C$5&gt;0,I11/'設定'!$C$5,0)</f>
        <v/>
      </c>
      <c r="K11" s="15">
        <f>SUMIFS('週次'!$D$5:$D$504,'週次'!$A$5:$A$504,"&gt;="&amp;$A11,'週次'!$A$5:$A$504,"&lt;"&amp;EDATE($A11,1))</f>
        <v/>
      </c>
      <c r="L11" s="13">
        <f>IFERROR(K11/SUMIFS('週次'!$C$5:$C$504,'週次'!$A$5:$A$504,"&gt;="&amp;$A11,'週次'!$A$5:$A$504,"&lt;"&amp;EDATE($A11,1)),"")</f>
        <v/>
      </c>
    </row>
    <row r="12">
      <c r="A12" s="16">
        <f>EDATE(A11,1)</f>
        <v/>
      </c>
      <c r="B12" s="10" t="n"/>
      <c r="C12" s="10" t="n"/>
      <c r="D12" s="10" t="n"/>
      <c r="E12" s="5" t="n">
        <v>1480</v>
      </c>
      <c r="F12" s="12">
        <f>SUMIFS('週次'!$H$5:$H$504,'週次'!$A$5:$A$504,"&gt;="&amp;$A12,'週次'!$A$5:$A$504,"&lt;"&amp;EDATE($A12,1))</f>
        <v/>
      </c>
      <c r="G12" s="12">
        <f>N(D12)*N(E12)</f>
        <v/>
      </c>
      <c r="H12" s="12">
        <f>F12+G12</f>
        <v/>
      </c>
      <c r="I12" s="12">
        <f>H12*'設定'!$C$4</f>
        <v/>
      </c>
      <c r="J12" s="13">
        <f>IF('設定'!$C$5&gt;0,I12/'設定'!$C$5,0)</f>
        <v/>
      </c>
      <c r="K12" s="15">
        <f>SUMIFS('週次'!$D$5:$D$504,'週次'!$A$5:$A$504,"&gt;="&amp;$A12,'週次'!$A$5:$A$504,"&lt;"&amp;EDATE($A12,1))</f>
        <v/>
      </c>
      <c r="L12" s="13">
        <f>IFERROR(K12/SUMIFS('週次'!$C$5:$C$504,'週次'!$A$5:$A$504,"&gt;="&amp;$A12,'週次'!$A$5:$A$504,"&lt;"&amp;EDATE($A12,1)),"")</f>
        <v/>
      </c>
    </row>
    <row r="13">
      <c r="A13" s="16">
        <f>EDATE(A12,1)</f>
        <v/>
      </c>
      <c r="B13" s="10" t="n"/>
      <c r="C13" s="10" t="n"/>
      <c r="D13" s="10" t="n"/>
      <c r="E13" s="5" t="n">
        <v>1480</v>
      </c>
      <c r="F13" s="12">
        <f>SUMIFS('週次'!$H$5:$H$504,'週次'!$A$5:$A$504,"&gt;="&amp;$A13,'週次'!$A$5:$A$504,"&lt;"&amp;EDATE($A13,1))</f>
        <v/>
      </c>
      <c r="G13" s="12">
        <f>N(D13)*N(E13)</f>
        <v/>
      </c>
      <c r="H13" s="12">
        <f>F13+G13</f>
        <v/>
      </c>
      <c r="I13" s="12">
        <f>H13*'設定'!$C$4</f>
        <v/>
      </c>
      <c r="J13" s="13">
        <f>IF('設定'!$C$5&gt;0,I13/'設定'!$C$5,0)</f>
        <v/>
      </c>
      <c r="K13" s="15">
        <f>SUMIFS('週次'!$D$5:$D$504,'週次'!$A$5:$A$504,"&gt;="&amp;$A13,'週次'!$A$5:$A$504,"&lt;"&amp;EDATE($A13,1))</f>
        <v/>
      </c>
      <c r="L13" s="13">
        <f>IFERROR(K13/SUMIFS('週次'!$C$5:$C$504,'週次'!$A$5:$A$504,"&gt;="&amp;$A13,'週次'!$A$5:$A$504,"&lt;"&amp;EDATE($A13,1)),"")</f>
        <v/>
      </c>
    </row>
    <row r="14">
      <c r="A14" s="16">
        <f>EDATE(A13,1)</f>
        <v/>
      </c>
      <c r="B14" s="10" t="n"/>
      <c r="C14" s="10" t="n"/>
      <c r="D14" s="10" t="n"/>
      <c r="E14" s="5" t="n">
        <v>1480</v>
      </c>
      <c r="F14" s="12">
        <f>SUMIFS('週次'!$H$5:$H$504,'週次'!$A$5:$A$504,"&gt;="&amp;$A14,'週次'!$A$5:$A$504,"&lt;"&amp;EDATE($A14,1))</f>
        <v/>
      </c>
      <c r="G14" s="12">
        <f>N(D14)*N(E14)</f>
        <v/>
      </c>
      <c r="H14" s="12">
        <f>F14+G14</f>
        <v/>
      </c>
      <c r="I14" s="12">
        <f>H14*'設定'!$C$4</f>
        <v/>
      </c>
      <c r="J14" s="13">
        <f>IF('設定'!$C$5&gt;0,I14/'設定'!$C$5,0)</f>
        <v/>
      </c>
      <c r="K14" s="15">
        <f>SUMIFS('週次'!$D$5:$D$504,'週次'!$A$5:$A$504,"&gt;="&amp;$A14,'週次'!$A$5:$A$504,"&lt;"&amp;EDATE($A14,1))</f>
        <v/>
      </c>
      <c r="L14" s="13">
        <f>IFERROR(K14/SUMIFS('週次'!$C$5:$C$504,'週次'!$A$5:$A$504,"&gt;="&amp;$A14,'週次'!$A$5:$A$504,"&lt;"&amp;EDATE($A14,1)),"")</f>
        <v/>
      </c>
    </row>
    <row r="15">
      <c r="A15" s="16">
        <f>EDATE(A14,1)</f>
        <v/>
      </c>
      <c r="B15" s="10" t="n"/>
      <c r="C15" s="10" t="n"/>
      <c r="D15" s="10" t="n"/>
      <c r="E15" s="5" t="n">
        <v>1480</v>
      </c>
      <c r="F15" s="12">
        <f>SUMIFS('週次'!$H$5:$H$504,'週次'!$A$5:$A$504,"&gt;="&amp;$A15,'週次'!$A$5:$A$504,"&lt;"&amp;EDATE($A15,1))</f>
        <v/>
      </c>
      <c r="G15" s="12">
        <f>N(D15)*N(E15)</f>
        <v/>
      </c>
      <c r="H15" s="12">
        <f>F15+G15</f>
        <v/>
      </c>
      <c r="I15" s="12">
        <f>H15*'設定'!$C$4</f>
        <v/>
      </c>
      <c r="J15" s="13">
        <f>IF('設定'!$C$5&gt;0,I15/'設定'!$C$5,0)</f>
        <v/>
      </c>
      <c r="K15" s="15">
        <f>SUMIFS('週次'!$D$5:$D$504,'週次'!$A$5:$A$504,"&gt;="&amp;$A15,'週次'!$A$5:$A$504,"&lt;"&amp;EDATE($A15,1))</f>
        <v/>
      </c>
      <c r="L15" s="13">
        <f>IFERROR(K15/SUMIFS('週次'!$C$5:$C$504,'週次'!$A$5:$A$504,"&gt;="&amp;$A15,'週次'!$A$5:$A$504,"&lt;"&amp;EDATE($A15,1)),"")</f>
        <v/>
      </c>
    </row>
    <row r="16">
      <c r="A16" s="16">
        <f>EDATE(A15,1)</f>
        <v/>
      </c>
      <c r="B16" s="10" t="n"/>
      <c r="C16" s="10" t="n"/>
      <c r="D16" s="10" t="n"/>
      <c r="E16" s="5" t="n">
        <v>1480</v>
      </c>
      <c r="F16" s="12">
        <f>SUMIFS('週次'!$H$5:$H$504,'週次'!$A$5:$A$504,"&gt;="&amp;$A16,'週次'!$A$5:$A$504,"&lt;"&amp;EDATE($A16,1))</f>
        <v/>
      </c>
      <c r="G16" s="12">
        <f>N(D16)*N(E16)</f>
        <v/>
      </c>
      <c r="H16" s="12">
        <f>F16+G16</f>
        <v/>
      </c>
      <c r="I16" s="12">
        <f>H16*'設定'!$C$4</f>
        <v/>
      </c>
      <c r="J16" s="13">
        <f>IF('設定'!$C$5&gt;0,I16/'設定'!$C$5,0)</f>
        <v/>
      </c>
      <c r="K16" s="15">
        <f>SUMIFS('週次'!$D$5:$D$504,'週次'!$A$5:$A$504,"&gt;="&amp;$A16,'週次'!$A$5:$A$504,"&lt;"&amp;EDATE($A16,1))</f>
        <v/>
      </c>
      <c r="L16" s="13">
        <f>IFERROR(K16/SUMIFS('週次'!$C$5:$C$504,'週次'!$A$5:$A$504,"&gt;="&amp;$A16,'週次'!$A$5:$A$504,"&lt;"&amp;EDATE($A16,1)),"")</f>
        <v/>
      </c>
    </row>
    <row r="17">
      <c r="A17" s="16">
        <f>EDATE(A16,1)</f>
        <v/>
      </c>
      <c r="B17" s="10" t="n"/>
      <c r="C17" s="10" t="n"/>
      <c r="D17" s="10" t="n"/>
      <c r="E17" s="5" t="n">
        <v>1480</v>
      </c>
      <c r="F17" s="12">
        <f>SUMIFS('週次'!$H$5:$H$504,'週次'!$A$5:$A$504,"&gt;="&amp;$A17,'週次'!$A$5:$A$504,"&lt;"&amp;EDATE($A17,1))</f>
        <v/>
      </c>
      <c r="G17" s="12">
        <f>N(D17)*N(E17)</f>
        <v/>
      </c>
      <c r="H17" s="12">
        <f>F17+G17</f>
        <v/>
      </c>
      <c r="I17" s="12">
        <f>H17*'設定'!$C$4</f>
        <v/>
      </c>
      <c r="J17" s="13">
        <f>IF('設定'!$C$5&gt;0,I17/'設定'!$C$5,0)</f>
        <v/>
      </c>
      <c r="K17" s="15">
        <f>SUMIFS('週次'!$D$5:$D$504,'週次'!$A$5:$A$504,"&gt;="&amp;$A17,'週次'!$A$5:$A$504,"&lt;"&amp;EDATE($A17,1))</f>
        <v/>
      </c>
      <c r="L17" s="13">
        <f>IFERROR(K17/SUMIFS('週次'!$C$5:$C$504,'週次'!$A$5:$A$504,"&gt;="&amp;$A17,'週次'!$A$5:$A$504,"&lt;"&amp;EDATE($A17,1)),"")</f>
        <v/>
      </c>
    </row>
    <row r="18">
      <c r="A18" s="16">
        <f>EDATE(A17,1)</f>
        <v/>
      </c>
      <c r="B18" s="10" t="n"/>
      <c r="C18" s="10" t="n"/>
      <c r="D18" s="10" t="n"/>
      <c r="E18" s="5" t="n">
        <v>1480</v>
      </c>
      <c r="F18" s="12">
        <f>SUMIFS('週次'!$H$5:$H$504,'週次'!$A$5:$A$504,"&gt;="&amp;$A18,'週次'!$A$5:$A$504,"&lt;"&amp;EDATE($A18,1))</f>
        <v/>
      </c>
      <c r="G18" s="12">
        <f>N(D18)*N(E18)</f>
        <v/>
      </c>
      <c r="H18" s="12">
        <f>F18+G18</f>
        <v/>
      </c>
      <c r="I18" s="12">
        <f>H18*'設定'!$C$4</f>
        <v/>
      </c>
      <c r="J18" s="13">
        <f>IF('設定'!$C$5&gt;0,I18/'設定'!$C$5,0)</f>
        <v/>
      </c>
      <c r="K18" s="15">
        <f>SUMIFS('週次'!$D$5:$D$504,'週次'!$A$5:$A$504,"&gt;="&amp;$A18,'週次'!$A$5:$A$504,"&lt;"&amp;EDATE($A18,1))</f>
        <v/>
      </c>
      <c r="L18" s="13">
        <f>IFERROR(K18/SUMIFS('週次'!$C$5:$C$504,'週次'!$A$5:$A$504,"&gt;="&amp;$A18,'週次'!$A$5:$A$504,"&lt;"&amp;EDATE($A18,1)),"")</f>
        <v/>
      </c>
    </row>
    <row r="19">
      <c r="A19" s="16">
        <f>EDATE(A18,1)</f>
        <v/>
      </c>
      <c r="B19" s="10" t="n"/>
      <c r="C19" s="10" t="n"/>
      <c r="D19" s="10" t="n"/>
      <c r="E19" s="5" t="n">
        <v>1480</v>
      </c>
      <c r="F19" s="12">
        <f>SUMIFS('週次'!$H$5:$H$504,'週次'!$A$5:$A$504,"&gt;="&amp;$A19,'週次'!$A$5:$A$504,"&lt;"&amp;EDATE($A19,1))</f>
        <v/>
      </c>
      <c r="G19" s="12">
        <f>N(D19)*N(E19)</f>
        <v/>
      </c>
      <c r="H19" s="12">
        <f>F19+G19</f>
        <v/>
      </c>
      <c r="I19" s="12">
        <f>H19*'設定'!$C$4</f>
        <v/>
      </c>
      <c r="J19" s="13">
        <f>IF('設定'!$C$5&gt;0,I19/'設定'!$C$5,0)</f>
        <v/>
      </c>
      <c r="K19" s="15">
        <f>SUMIFS('週次'!$D$5:$D$504,'週次'!$A$5:$A$504,"&gt;="&amp;$A19,'週次'!$A$5:$A$504,"&lt;"&amp;EDATE($A19,1))</f>
        <v/>
      </c>
      <c r="L19" s="13">
        <f>IFERROR(K19/SUMIFS('週次'!$C$5:$C$504,'週次'!$A$5:$A$504,"&gt;="&amp;$A19,'週次'!$A$5:$A$504,"&lt;"&amp;EDATE($A19,1)),"")</f>
        <v/>
      </c>
    </row>
    <row r="20">
      <c r="A20" s="16">
        <f>EDATE(A19,1)</f>
        <v/>
      </c>
      <c r="B20" s="10" t="n"/>
      <c r="C20" s="10" t="n"/>
      <c r="D20" s="10" t="n"/>
      <c r="E20" s="5" t="n">
        <v>1480</v>
      </c>
      <c r="F20" s="12">
        <f>SUMIFS('週次'!$H$5:$H$504,'週次'!$A$5:$A$504,"&gt;="&amp;$A20,'週次'!$A$5:$A$504,"&lt;"&amp;EDATE($A20,1))</f>
        <v/>
      </c>
      <c r="G20" s="12">
        <f>N(D20)*N(E20)</f>
        <v/>
      </c>
      <c r="H20" s="12">
        <f>F20+G20</f>
        <v/>
      </c>
      <c r="I20" s="12">
        <f>H20*'設定'!$C$4</f>
        <v/>
      </c>
      <c r="J20" s="13">
        <f>IF('設定'!$C$5&gt;0,I20/'設定'!$C$5,0)</f>
        <v/>
      </c>
      <c r="K20" s="15">
        <f>SUMIFS('週次'!$D$5:$D$504,'週次'!$A$5:$A$504,"&gt;="&amp;$A20,'週次'!$A$5:$A$504,"&lt;"&amp;EDATE($A20,1))</f>
        <v/>
      </c>
      <c r="L20" s="13">
        <f>IFERROR(K20/SUMIFS('週次'!$C$5:$C$504,'週次'!$A$5:$A$504,"&gt;="&amp;$A20,'週次'!$A$5:$A$504,"&lt;"&amp;EDATE($A20,1)),"")</f>
        <v/>
      </c>
    </row>
    <row r="21">
      <c r="A21" s="16">
        <f>EDATE(A20,1)</f>
        <v/>
      </c>
      <c r="B21" s="10" t="n"/>
      <c r="C21" s="10" t="n"/>
      <c r="D21" s="10" t="n"/>
      <c r="E21" s="5" t="n">
        <v>1480</v>
      </c>
      <c r="F21" s="12">
        <f>SUMIFS('週次'!$H$5:$H$504,'週次'!$A$5:$A$504,"&gt;="&amp;$A21,'週次'!$A$5:$A$504,"&lt;"&amp;EDATE($A21,1))</f>
        <v/>
      </c>
      <c r="G21" s="12">
        <f>N(D21)*N(E21)</f>
        <v/>
      </c>
      <c r="H21" s="12">
        <f>F21+G21</f>
        <v/>
      </c>
      <c r="I21" s="12">
        <f>H21*'設定'!$C$4</f>
        <v/>
      </c>
      <c r="J21" s="13">
        <f>IF('設定'!$C$5&gt;0,I21/'設定'!$C$5,0)</f>
        <v/>
      </c>
      <c r="K21" s="15">
        <f>SUMIFS('週次'!$D$5:$D$504,'週次'!$A$5:$A$504,"&gt;="&amp;$A21,'週次'!$A$5:$A$504,"&lt;"&amp;EDATE($A21,1))</f>
        <v/>
      </c>
      <c r="L21" s="13">
        <f>IFERROR(K21/SUMIFS('週次'!$C$5:$C$504,'週次'!$A$5:$A$504,"&gt;="&amp;$A21,'週次'!$A$5:$A$504,"&lt;"&amp;EDATE($A21,1)),"")</f>
        <v/>
      </c>
    </row>
    <row r="23">
      <c r="A23" s="2" t="inlineStr">
        <is>
          <t>週の開始日がその月に入る週を、その月の売上として数える。メンバーの売上は、メンバー数×月額の概算。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2026-09-23T12:57:51Z</dcterms:created>
  <dcterms:modified xsi:type="dcterms:W3CDTF">2026-09-23T12:57:51Z</dcterms:modified>
</cp:coreProperties>
</file>