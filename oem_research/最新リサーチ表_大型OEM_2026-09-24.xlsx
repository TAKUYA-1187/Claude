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リサーチ表(15%以上)" sheetId="2" state="visible" r:id="rId2"/>
    <sheet xmlns:r="http://schemas.openxmlformats.org/officeDocument/2006/relationships" name="レビュー分析" sheetId="3" state="visible" r:id="rId3"/>
    <sheet xmlns:r="http://schemas.openxmlformats.org/officeDocument/2006/relationships" name="月利100万・年商5億計画" sheetId="4" state="visible" r:id="rId4"/>
    <sheet xmlns:r="http://schemas.openxmlformats.org/officeDocument/2006/relationships" name="全40候補スクリーニング" sheetId="5" state="visible" r:id="rId5"/>
    <sheet xmlns:r="http://schemas.openxmlformats.org/officeDocument/2006/relationships" name="前提条件" sheetId="6" state="visible" r:id="rId6"/>
    <sheet xmlns:r="http://schemas.openxmlformats.org/officeDocument/2006/relationships" name="出典" sheetId="7" state="visible" r:id="rId7"/>
  </sheets>
  <definedNames>
    <definedName name="_xlnm._FilterDatabase" localSheetId="1" hidden="1">'リサーチ表(15%以上)'!$A$4:$AZ$12</definedName>
    <definedName name="_xlnm._FilterDatabase" localSheetId="2" hidden="1">'レビュー分析'!$A$4:$G$52</definedName>
    <definedName name="_xlnm._FilterDatabase" localSheetId="4" hidden="1">'全40候補スクリーニング'!$A$4:$AJ$44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-0.0%;&quot;-&quot;"/>
    <numFmt numFmtId="165" formatCode="&quot;¥&quot;#,##0;[Red]&quot;-¥&quot;#,##0;&quot;-&quot;"/>
    <numFmt numFmtId="166" formatCode="0.0"/>
    <numFmt numFmtId="167" formatCode="#,##0&quot; 元&quot;"/>
    <numFmt numFmtId="168" formatCode="0.000"/>
  </numFmts>
  <fonts count="10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C00000"/>
      <sz val="10"/>
    </font>
    <font>
      <name val="游ゴシック"/>
      <b val="1"/>
      <color rgb="00FFFFFF"/>
      <sz val="10"/>
    </font>
    <font>
      <name val="游ゴシック"/>
      <b val="1"/>
      <sz val="10"/>
    </font>
    <font>
      <name val="游ゴシック"/>
      <color rgb="000000FF"/>
      <sz val="10"/>
    </font>
    <font>
      <name val="游ゴシック"/>
      <sz val="10"/>
    </font>
    <font>
      <name val="游ゴシック"/>
      <color rgb="00595959"/>
      <sz val="9"/>
    </font>
    <font>
      <name val="游ゴシック"/>
      <color rgb="000563C1"/>
      <sz val="10"/>
      <u val="single"/>
    </font>
    <font>
      <name val="游ゴシック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5" fontId="9" fillId="0" borderId="1" pivotButton="0" quotePrefix="0" xfId="0"/>
    <xf numFmtId="164" fontId="9" fillId="0" borderId="1" pivotButton="0" quotePrefix="0" xfId="0"/>
    <xf numFmtId="3" fontId="9" fillId="0" borderId="1" pivotButton="0" quotePrefix="0" xfId="0"/>
    <xf numFmtId="0" fontId="9" fillId="0" borderId="1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3" fontId="5" fillId="3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6" fillId="0" borderId="1" pivotButton="0" quotePrefix="0" xfId="0"/>
    <xf numFmtId="0" fontId="8" fillId="0" borderId="1" applyAlignment="1" pivotButton="0" quotePrefix="0" xfId="0">
      <alignment vertical="top" wrapText="1"/>
    </xf>
    <xf numFmtId="165" fontId="5" fillId="3" borderId="1" pivotButton="0" quotePrefix="0" xfId="0"/>
    <xf numFmtId="167" fontId="5" fillId="3" borderId="1" pivotButton="0" quotePrefix="0" xfId="0"/>
    <xf numFmtId="166" fontId="5" fillId="3" borderId="1" pivotButton="0" quotePrefix="0" xfId="0"/>
    <xf numFmtId="3" fontId="6" fillId="0" borderId="1" pivotButton="0" quotePrefix="0" xfId="0"/>
    <xf numFmtId="168" fontId="6" fillId="0" borderId="1" pivotButton="0" quotePrefix="0" xfId="0"/>
    <xf numFmtId="165" fontId="6" fillId="0" borderId="1" pivotButton="0" quotePrefix="0" xfId="0"/>
    <xf numFmtId="164" fontId="5" fillId="3" borderId="1" pivotButton="0" quotePrefix="0" xfId="0"/>
    <xf numFmtId="167" fontId="6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5" fillId="4" borderId="1" pivotButton="0" quotePrefix="0" xfId="0"/>
    <xf numFmtId="3" fontId="4" fillId="7" borderId="1" pivotButton="0" quotePrefix="0" xfId="0"/>
    <xf numFmtId="165" fontId="4" fillId="7" borderId="1" pivotButton="0" quotePrefix="0" xfId="0"/>
    <xf numFmtId="165" fontId="4" fillId="0" borderId="1" pivotButton="0" quotePrefix="0" xfId="0"/>
    <xf numFmtId="167" fontId="9" fillId="0" borderId="1" pivotButton="0" quotePrefix="0" xfId="0"/>
    <xf numFmtId="166" fontId="9" fillId="0" borderId="1" pivotButton="0" quotePrefix="0" xfId="0"/>
    <xf numFmtId="0" fontId="2" fillId="0" borderId="0" pivotButton="0" quotePrefix="0" xfId="0"/>
    <xf numFmtId="2" fontId="5" fillId="3" borderId="1" pivotButton="0" quotePrefix="0" xfId="0"/>
    <xf numFmtId="0" fontId="6" fillId="0" borderId="1" pivotButton="0" quotePrefix="0" xfId="0"/>
    <xf numFmtId="165" fontId="5" fillId="4" borderId="1" pivotButton="0" quotePrefix="0" xfId="0"/>
    <xf numFmtId="2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ore.shopping.yahoo.co.jp/tansu/17600169.html" TargetMode="External" Id="rId1"/><Relationship Type="http://schemas.openxmlformats.org/officeDocument/2006/relationships/hyperlink" Target="https://www.amazon.co.jp/s?k=%E5%AE%85%E9%85%8D%E3%83%9C%E3%83%83%E3%82%AF%E3%82%B9%20%E6%88%B8%E5%BB%BA%E3%81%A6%20%E5%A4%A7%E5%AE%B9%E9%87%8F" TargetMode="External" Id="rId2"/><Relationship Type="http://schemas.openxmlformats.org/officeDocument/2006/relationships/hyperlink" Target="https://s.1688.com/selloffer/offer_search.htm?charset=utf8&amp;keywords=%E5%BF%AB%E9%80%92%E7%AE%B1%20%E6%88%B7%E5%A4%96%20%E5%88%AB%E5%A2%85%20%E5%8C%85%E8%A3%B9%E7%AE%B1%20%E5%B8%A6%E4%BF%A1%E7%AE%B1%20%E5%A4%A7%E5%AE%B9%E9%87%8F%20%E7%BB%84%E8%A3%85" TargetMode="External" Id="rId3"/><Relationship Type="http://schemas.openxmlformats.org/officeDocument/2006/relationships/hyperlink" Target="https://sakura-checker.jp/search/B099RYLG3S/" TargetMode="External" Id="rId4"/><Relationship Type="http://schemas.openxmlformats.org/officeDocument/2006/relationships/hyperlink" Target="https://www.amazon.co.jp/s?k=%E3%82%AD%E3%83%A3%E3%83%83%E3%83%88%E3%82%BF%E3%83%AF%E3%83%BC%20%E5%A4%A7%E5%9E%8B%E7%8C%AB%20%E6%8D%AE%E3%81%88%E7%BD%AE%E3%81%8D" TargetMode="External" Id="rId5"/><Relationship Type="http://schemas.openxmlformats.org/officeDocument/2006/relationships/hyperlink" Target="https://s.1688.com/selloffer/offer_search.htm?charset=utf8&amp;keywords=%E7%8C%AB%E7%88%AC%E6%9E%B6%20%E5%A4%A7%E5%9E%8B%20%E7%BC%85%E5%9B%A0%E7%8C%AB%20%E7%B2%97%E6%9F%B1%20%E8%90%BD%E5%9C%B0%20180" TargetMode="External" Id="rId6"/><Relationship Type="http://schemas.openxmlformats.org/officeDocument/2006/relationships/hyperlink" Target="https://www.amazon.co.jp/dp/B09TKTDXRQ" TargetMode="External" Id="rId7"/><Relationship Type="http://schemas.openxmlformats.org/officeDocument/2006/relationships/hyperlink" Target="https://www.amazon.co.jp/s?k=%E3%82%B4%E3%83%AB%E3%83%95%E3%83%90%E3%83%83%E3%82%B0%20%E5%8F%8E%E7%B4%8D%E3%83%A9%E3%83%83%E3%82%AF" TargetMode="External" Id="rId8"/><Relationship Type="http://schemas.openxmlformats.org/officeDocument/2006/relationships/hyperlink" Target="https://s.1688.com/selloffer/offer_search.htm?charset=utf8&amp;keywords=%E9%AB%98%E5%B0%94%E5%A4%AB%E7%90%83%E5%8C%85%E6%94%B6%E7%BA%B3%E6%9E%B6%20%E5%8F%8C%E5%8C%85%20%E8%BD%A6%E5%BA%93%20%E7%BD%AE%E7%89%A9%E6%9E%B6%20%E5%B8%A6%E8%BD%AE" TargetMode="External" Id="rId9"/><Relationship Type="http://schemas.openxmlformats.org/officeDocument/2006/relationships/hyperlink" Target="https://store.shopping.yahoo.co.jp/adachiseisakusyo/2434.html" TargetMode="External" Id="rId10"/><Relationship Type="http://schemas.openxmlformats.org/officeDocument/2006/relationships/hyperlink" Target="https://www.amazon.co.jp/s?k=%E8%87%AA%E8%BB%A2%E8%BB%8A%E3%82%B9%E3%82%BF%E3%83%B3%E3%83%89%202%E5%8F%B0%20%E5%AE%A4%E5%86%85" TargetMode="External" Id="rId11"/><Relationship Type="http://schemas.openxmlformats.org/officeDocument/2006/relationships/hyperlink" Target="https://s.1688.com/selloffer/offer_search.htm?charset=utf8&amp;keywords=%E8%87%AA%E8%A1%8C%E8%BD%A6%E5%81%9C%E8%BD%A6%E6%9E%B6%20%E5%AE%A4%E5%86%85%20%E7%AB%8B%E5%BC%8F%20%E5%8F%8C%E8%BD%A6%20%E6%8C%82%E6%9E%B6%20%E8%90%BD%E5%9C%B0" TargetMode="External" Id="rId12"/><Relationship Type="http://schemas.openxmlformats.org/officeDocument/2006/relationships/hyperlink" Target="https://www.amazon.co.jp/dp/B0DCMV6DKF" TargetMode="External" Id="rId13"/><Relationship Type="http://schemas.openxmlformats.org/officeDocument/2006/relationships/hyperlink" Target="https://www.amazon.co.jp/s?k=%E3%83%97%E3%83%AA%E3%83%B3%E3%82%BF%E3%83%BC%E5%8F%B0%20A3%20%E3%82%AD%E3%83%A3%E3%82%B9%E3%82%BF%E3%83%BC" TargetMode="External" Id="rId14"/><Relationship Type="http://schemas.openxmlformats.org/officeDocument/2006/relationships/hyperlink" Target="https://s.1688.com/selloffer/offer_search.htm?charset=utf8&amp;keywords=%E6%89%93%E5%8D%B0%E6%9C%BA%E6%8E%A8%E8%BD%A6%20A3%20%E5%A4%8D%E5%8D%B0%E6%9C%BA%E6%9E%B6%20%E5%B8%A6%E8%BD%AE%20%E4%B8%89%E5%B1%82%20%E9%92%A2%E6%9C%A8" TargetMode="External" Id="rId15"/><Relationship Type="http://schemas.openxmlformats.org/officeDocument/2006/relationships/hyperlink" Target="https://www.amazon.co.jp/dp/B07Q51GGGB" TargetMode="External" Id="rId16"/><Relationship Type="http://schemas.openxmlformats.org/officeDocument/2006/relationships/hyperlink" Target="https://www.amazon.co.jp/s?k=%E3%83%A9%E3%83%B3%E3%83%89%E3%83%AA%E3%83%BC%E3%83%A9%E3%83%83%E3%82%AF%20%E6%B4%97%E6%BF%AF%E6%A9%9F" TargetMode="External" Id="rId17"/><Relationship Type="http://schemas.openxmlformats.org/officeDocument/2006/relationships/hyperlink" Target="https://s.1688.com/selloffer/offer_search.htm?charset=utf8&amp;keywords=%E6%B4%97%E8%A1%A3%E6%9C%BA%E7%BD%AE%E7%89%A9%E6%9E%B6%20%E8%90%BD%E5%9C%B0%20%E5%8F%AF%E4%BC%B8%E7%BC%A9%20%E6%BB%9A%E7%AD%92%20%E5%8D%AB%E7%94%9F%E9%97%B4" TargetMode="External" Id="rId18"/><Relationship Type="http://schemas.openxmlformats.org/officeDocument/2006/relationships/hyperlink" Target="https://store.shopping.yahoo.co.jp/discount-spirits2/a000000131862-copy.html" TargetMode="External" Id="rId19"/><Relationship Type="http://schemas.openxmlformats.org/officeDocument/2006/relationships/hyperlink" Target="https://www.amazon.co.jp/s?k=%E3%83%9C%E3%83%BC%E3%83%AB%E3%82%AB%E3%82%B4%20%E3%82%AD%E3%83%A3%E3%82%B9%E3%82%BF%E3%83%BC" TargetMode="External" Id="rId20"/><Relationship Type="http://schemas.openxmlformats.org/officeDocument/2006/relationships/hyperlink" Target="https://s.1688.com/selloffer/offer_search.htm?charset=utf8&amp;keywords=%E7%90%83%E8%BD%A6%20%E7%AF%AE%E7%90%83%E6%94%B6%E7%BA%B3%E8%BD%A6%20%E5%B8%A6%E8%BD%AE%20%E6%8A%98%E5%8F%A0%20%E5%AD%A6%E6%A0%A1%20%E4%BD%93%E8%82%B2%E5%99%A8%E6%9D%90" TargetMode="External" Id="rId21"/><Relationship Type="http://schemas.openxmlformats.org/officeDocument/2006/relationships/hyperlink" Target="https://www.bisella.com/wagon" TargetMode="External" Id="rId22"/><Relationship Type="http://schemas.openxmlformats.org/officeDocument/2006/relationships/hyperlink" Target="https://www.amazon.co.jp/s?k=%E7%BE%8E%E5%AE%B9%E5%AE%A4%20%E3%83%AF%E3%82%B4%E3%83%B3" TargetMode="External" Id="rId23"/><Relationship Type="http://schemas.openxmlformats.org/officeDocument/2006/relationships/hyperlink" Target="https://s.1688.com/selloffer/offer_search.htm?charset=utf8&amp;keywords=%E7%BE%8E%E5%8F%91%E6%8E%A8%E8%BD%A6%20%E7%90%86%E5%8F%91%E5%BA%97%20%E5%B7%A5%E5%85%B7%E8%BD%A6%20%E5%B8%A6%E6%8A%BD%E5%B1%89%20%E5%90%B9%E9%A3%8E%E6%9C%BA%E6%9E%B6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my-best.com/5265" TargetMode="External" Id="rId1"/><Relationship Type="http://schemas.openxmlformats.org/officeDocument/2006/relationships/hyperlink" Target="https://my-best.com/24523" TargetMode="External" Id="rId2"/><Relationship Type="http://schemas.openxmlformats.org/officeDocument/2006/relationships/hyperlink" Target="https://my-best.com/24506" TargetMode="External" Id="rId3"/><Relationship Type="http://schemas.openxmlformats.org/officeDocument/2006/relationships/hyperlink" Target="https://360life.shinyusha.co.jp/articles/-/51199" TargetMode="External" Id="rId4"/><Relationship Type="http://schemas.openxmlformats.org/officeDocument/2006/relationships/hyperlink" Target="https://www.alsok.co.jp/person/recommend/2020/" TargetMode="External" Id="rId5"/><Relationship Type="http://schemas.openxmlformats.org/officeDocument/2006/relationships/hyperlink" Target="https://www.alsok.co.jp/person/recommend/2020/" TargetMode="External" Id="rId6"/><Relationship Type="http://schemas.openxmlformats.org/officeDocument/2006/relationships/hyperlink" Target="https://www.alsok.co.jp/person/recommend/2020/" TargetMode="External" Id="rId7"/><Relationship Type="http://schemas.openxmlformats.org/officeDocument/2006/relationships/hyperlink" Target="https://exterior100.lixil.co.jp/articles/37/" TargetMode="External" Id="rId8"/><Relationship Type="http://schemas.openxmlformats.org/officeDocument/2006/relationships/hyperlink" Target="https://my-best.com/14984" TargetMode="External" Id="rId9"/><Relationship Type="http://schemas.openxmlformats.org/officeDocument/2006/relationships/hyperlink" Target="https://my-best.com/14984" TargetMode="External" Id="rId10"/><Relationship Type="http://schemas.openxmlformats.org/officeDocument/2006/relationships/hyperlink" Target="https://my-best.com/14984" TargetMode="External" Id="rId11"/><Relationship Type="http://schemas.openxmlformats.org/officeDocument/2006/relationships/hyperlink" Target="https://harukurage.com/84.html" TargetMode="External" Id="rId12"/><Relationship Type="http://schemas.openxmlformats.org/officeDocument/2006/relationships/hyperlink" Target="https://note.com/neko_no_wa222/n/n16055c4a6d6f" TargetMode="External" Id="rId13"/><Relationship Type="http://schemas.openxmlformats.org/officeDocument/2006/relationships/hyperlink" Target="https://www.nolepen.com/entry/repair-cattower" TargetMode="External" Id="rId14"/><Relationship Type="http://schemas.openxmlformats.org/officeDocument/2006/relationships/hyperlink" Target="https://my-best.com/14984" TargetMode="External" Id="rId15"/><Relationship Type="http://schemas.openxmlformats.org/officeDocument/2006/relationships/hyperlink" Target="https://store.shopping.yahoo.co.jp/masuda-shop/ms142310.html" TargetMode="External" Id="rId16"/><Relationship Type="http://schemas.openxmlformats.org/officeDocument/2006/relationships/hyperlink" Target="https://store.shopping.yahoo.co.jp/discount-spirits2/000000133189.html" TargetMode="External" Id="rId17"/><Relationship Type="http://schemas.openxmlformats.org/officeDocument/2006/relationships/hyperlink" Target="https://store.shopping.yahoo.co.jp/discount-spirits2/000000133189.html" TargetMode="External" Id="rId18"/><Relationship Type="http://schemas.openxmlformats.org/officeDocument/2006/relationships/hyperlink" Target="https://store.shopping.yahoo.co.jp/adachiseisakusyo/1530.html" TargetMode="External" Id="rId19"/><Relationship Type="http://schemas.openxmlformats.org/officeDocument/2006/relationships/hyperlink" Target="https://store.shopping.yahoo.co.jp/adachiseisakusyo/2434.html" TargetMode="External" Id="rId20"/><Relationship Type="http://schemas.openxmlformats.org/officeDocument/2006/relationships/hyperlink" Target="https://tabi-rin.com/archives/article/45659" TargetMode="External" Id="rId21"/><Relationship Type="http://schemas.openxmlformats.org/officeDocument/2006/relationships/hyperlink" Target="https://tacklenote.jp/columns/2-road-bike-stands/" TargetMode="External" Id="rId22"/><Relationship Type="http://schemas.openxmlformats.org/officeDocument/2006/relationships/hyperlink" Target="https://my-best.com/31335" TargetMode="External" Id="rId23"/><Relationship Type="http://schemas.openxmlformats.org/officeDocument/2006/relationships/hyperlink" Target="https://my-best.com/31335" TargetMode="External" Id="rId24"/><Relationship Type="http://schemas.openxmlformats.org/officeDocument/2006/relationships/hyperlink" Target="https://my-best.com/31335" TargetMode="External" Id="rId25"/><Relationship Type="http://schemas.openxmlformats.org/officeDocument/2006/relationships/hyperlink" Target="https://www.amazon.co.jp/dp/B0DCMV6DKF" TargetMode="External" Id="rId26"/><Relationship Type="http://schemas.openxmlformats.org/officeDocument/2006/relationships/hyperlink" Target="https://www.amazon.co.jp/dp/B07Q51GGGB" TargetMode="External" Id="rId27"/><Relationship Type="http://schemas.openxmlformats.org/officeDocument/2006/relationships/hyperlink" Target="https://search.kakaku.com/%E3%82%A2%E3%82%A4%E3%83%AA%E3%82%B9%E3%82%AA%E3%83%BC%E3%83%A4%E3%83%9E%20%E3%83%A9%E3%83%B3%E3%83%89%E3%83%AA%E3%83%BC%E3%83%A9%E3%83%83%E3%82%AF/" TargetMode="External" Id="rId28"/><Relationship Type="http://schemas.openxmlformats.org/officeDocument/2006/relationships/hyperlink" Target="https://www.dinos.co.jp/furniture_s/column/water_area_storage/05/" TargetMode="External" Id="rId29"/><Relationship Type="http://schemas.openxmlformats.org/officeDocument/2006/relationships/hyperlink" Target="https://www.dinos.co.jp/furniture_s/column/water_area_storage/05/" TargetMode="External" Id="rId30"/><Relationship Type="http://schemas.openxmlformats.org/officeDocument/2006/relationships/hyperlink" Target="https://useful-lifehack.com/entry/laundry-rack" TargetMode="External" Id="rId31"/><Relationship Type="http://schemas.openxmlformats.org/officeDocument/2006/relationships/hyperlink" Target="https://store.shopping.yahoo.co.jp/discount-spirits2/a000000131862-copy.html" TargetMode="External" Id="rId32"/><Relationship Type="http://schemas.openxmlformats.org/officeDocument/2006/relationships/hyperlink" Target="https://store.shopping.yahoo.co.jp/discount-spirits2/a000000131862-copy.html" TargetMode="External" Id="rId33"/><Relationship Type="http://schemas.openxmlformats.org/officeDocument/2006/relationships/hyperlink" Target="https://my-best.com/15390" TargetMode="External" Id="rId34"/><Relationship Type="http://schemas.openxmlformats.org/officeDocument/2006/relationships/hyperlink" Target="https://www.bisella.com/wagon" TargetMode="External" Id="rId35"/><Relationship Type="http://schemas.openxmlformats.org/officeDocument/2006/relationships/hyperlink" Target="https://www.amazon.co.jp/s?k=%E3%83%AF%E3%82%B4%E3%83%B3+%E3%82%AD%E3%83%A3%E3%82%B9%E3%82%BF%E3%83%BC%E4%BB%98%E3%81%8D+3%E6%AE%B5+%E5%BC%95%E3%81%8D%E5%87%BA%E3%81%97" TargetMode="External" Id="rId36"/><Relationship Type="http://schemas.openxmlformats.org/officeDocument/2006/relationships/hyperlink" Target="https://my-best.com/1808" TargetMode="External" Id="rId37"/><Relationship Type="http://schemas.openxmlformats.org/officeDocument/2006/relationships/hyperlink" Target="https://store.shopping.yahoo.co.jp/petkan/7045887/review/fea2ea80-d2ab-473a-b180-a7bd275a598a/1" TargetMode="External" Id="rId38"/><Relationship Type="http://schemas.openxmlformats.org/officeDocument/2006/relationships/hyperlink" Target="https://www.risu-shop.jp/journal/garbage/1365/" TargetMode="External" Id="rId39"/><Relationship Type="http://schemas.openxmlformats.org/officeDocument/2006/relationships/hyperlink" Target="https://rank-king.jp/article/10025" TargetMode="External" Id="rId40"/><Relationship Type="http://schemas.openxmlformats.org/officeDocument/2006/relationships/hyperlink" Target="https://wanchan.jp/goods/detail/21101" TargetMode="External" Id="rId41"/><Relationship Type="http://schemas.openxmlformats.org/officeDocument/2006/relationships/hyperlink" Target="https://perfect-floors.jp/blog/steel-rack/5024/" TargetMode="External" Id="rId42"/><Relationship Type="http://schemas.openxmlformats.org/officeDocument/2006/relationships/hyperlink" Target="https://my-best.com/16993" TargetMode="External" Id="rId43"/><Relationship Type="http://schemas.openxmlformats.org/officeDocument/2006/relationships/hyperlink" Target="https://note.com/calm_tucan2717/n/neb622543d52d" TargetMode="External" Id="rId44"/><Relationship Type="http://schemas.openxmlformats.org/officeDocument/2006/relationships/hyperlink" Target="https://www.monotaro.com/s/q-%E3%82%B9%E3%83%86%E3%83%B3%E3%83%AC%E3%82%B9%E3%83%AF%E3%82%B4%E3%83%B33%E6%AE%B5/" TargetMode="External" Id="rId45"/><Relationship Type="http://schemas.openxmlformats.org/officeDocument/2006/relationships/hyperlink" Target="https://hanger-ya.com/products/c/000000200/" TargetMode="External" Id="rId4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mazon.co.jp/dp/B09TKTDXRQ" TargetMode="External" Id="rId1"/><Relationship Type="http://schemas.openxmlformats.org/officeDocument/2006/relationships/hyperlink" Target="https://s.1688.com/selloffer/offer_search.htm?charset=utf8&amp;keywords=%E9%AB%98%E5%B0%94%E5%A4%AB%E7%90%83%E5%8C%85%E6%94%B6%E7%BA%B3%E6%9E%B6%20%E5%8F%8C%E5%8C%85%20%E8%BD%A6%E5%BA%93%20%E7%BD%AE%E7%89%A9%E6%9E%B6%20%E5%B8%A6%E8%BD%AE" TargetMode="External" Id="rId2"/><Relationship Type="http://schemas.openxmlformats.org/officeDocument/2006/relationships/hyperlink" Target="https://www.amazon.co.jp/s?k=%E3%82%B4%E3%83%AB%E3%83%95%E3%83%90%E3%83%83%E3%82%B0%20%E5%8F%8E%E7%B4%8D%E3%83%A9%E3%83%83%E3%82%AF" TargetMode="External" Id="rId3"/><Relationship Type="http://schemas.openxmlformats.org/officeDocument/2006/relationships/hyperlink" Target="https://www.amazon.co.jp/dp/B07Q51GGGB" TargetMode="External" Id="rId4"/><Relationship Type="http://schemas.openxmlformats.org/officeDocument/2006/relationships/hyperlink" Target="https://s.1688.com/selloffer/offer_search.htm?charset=utf8&amp;keywords=%E6%B4%97%E8%A1%A3%E6%9C%BA%E7%BD%AE%E7%89%A9%E6%9E%B6%20%E8%90%BD%E5%9C%B0%20%E5%8F%AF%E4%BC%B8%E7%BC%A9%20%E6%BB%9A%E7%AD%92%20%E5%8D%AB%E7%94%9F%E9%97%B4" TargetMode="External" Id="rId5"/><Relationship Type="http://schemas.openxmlformats.org/officeDocument/2006/relationships/hyperlink" Target="https://www.amazon.co.jp/s?k=%E3%83%A9%E3%83%B3%E3%83%89%E3%83%AA%E3%83%BC%E3%83%A9%E3%83%83%E3%82%AF%20%E6%B4%97%E6%BF%AF%E6%A9%9F" TargetMode="External" Id="rId6"/><Relationship Type="http://schemas.openxmlformats.org/officeDocument/2006/relationships/hyperlink" Target="https://www.amazon.co.jp/dp/B0DCMV6DKF" TargetMode="External" Id="rId7"/><Relationship Type="http://schemas.openxmlformats.org/officeDocument/2006/relationships/hyperlink" Target="https://s.1688.com/selloffer/offer_search.htm?charset=utf8&amp;keywords=%E6%89%93%E5%8D%B0%E6%9C%BA%E6%8E%A8%E8%BD%A6%20A3%20%E5%A4%8D%E5%8D%B0%E6%9C%BA%E6%9E%B6%20%E5%B8%A6%E8%BD%AE%20%E4%B8%89%E5%B1%82%20%E9%92%A2%E6%9C%A8" TargetMode="External" Id="rId8"/><Relationship Type="http://schemas.openxmlformats.org/officeDocument/2006/relationships/hyperlink" Target="https://www.amazon.co.jp/s?k=%E3%83%97%E3%83%AA%E3%83%B3%E3%82%BF%E3%83%BC%E5%8F%B0%20A3%20%E3%82%AD%E3%83%A3%E3%82%B9%E3%82%BF%E3%83%BC" TargetMode="External" Id="rId9"/><Relationship Type="http://schemas.openxmlformats.org/officeDocument/2006/relationships/hyperlink" Target="https://store.shopping.yahoo.co.jp/adachiseisakusyo/2434.html" TargetMode="External" Id="rId10"/><Relationship Type="http://schemas.openxmlformats.org/officeDocument/2006/relationships/hyperlink" Target="https://s.1688.com/selloffer/offer_search.htm?charset=utf8&amp;keywords=%E8%87%AA%E8%A1%8C%E8%BD%A6%E5%81%9C%E8%BD%A6%E6%9E%B6%20%E5%AE%A4%E5%86%85%20%E7%AB%8B%E5%BC%8F%20%E5%8F%8C%E8%BD%A6%20%E6%8C%82%E6%9E%B6%20%E8%90%BD%E5%9C%B0" TargetMode="External" Id="rId11"/><Relationship Type="http://schemas.openxmlformats.org/officeDocument/2006/relationships/hyperlink" Target="https://www.amazon.co.jp/s?k=%E8%87%AA%E8%BB%A2%E8%BB%8A%E3%82%B9%E3%82%BF%E3%83%B3%E3%83%89%202%E5%8F%B0%20%E5%AE%A4%E5%86%85" TargetMode="External" Id="rId12"/><Relationship Type="http://schemas.openxmlformats.org/officeDocument/2006/relationships/hyperlink" Target="https://store.shopping.yahoo.co.jp/discount-spirits2/a000000131862-copy.html" TargetMode="External" Id="rId13"/><Relationship Type="http://schemas.openxmlformats.org/officeDocument/2006/relationships/hyperlink" Target="https://s.1688.com/selloffer/offer_search.htm?charset=utf8&amp;keywords=%E7%90%83%E8%BD%A6%20%E7%AF%AE%E7%90%83%E6%94%B6%E7%BA%B3%E8%BD%A6%20%E5%B8%A6%E8%BD%AE%20%E6%8A%98%E5%8F%A0%20%E5%AD%A6%E6%A0%A1%20%E4%BD%93%E8%82%B2%E5%99%A8%E6%9D%90" TargetMode="External" Id="rId14"/><Relationship Type="http://schemas.openxmlformats.org/officeDocument/2006/relationships/hyperlink" Target="https://www.amazon.co.jp/s?k=%E3%83%9C%E3%83%BC%E3%83%AB%E3%82%AB%E3%82%B4%20%E3%82%AD%E3%83%A3%E3%82%B9%E3%82%BF%E3%83%BC" TargetMode="External" Id="rId15"/><Relationship Type="http://schemas.openxmlformats.org/officeDocument/2006/relationships/hyperlink" Target="https://www.bisella.com/wagon" TargetMode="External" Id="rId16"/><Relationship Type="http://schemas.openxmlformats.org/officeDocument/2006/relationships/hyperlink" Target="https://s.1688.com/selloffer/offer_search.htm?charset=utf8&amp;keywords=%E7%BE%8E%E5%8F%91%E6%8E%A8%E8%BD%A6%20%E7%90%86%E5%8F%91%E5%BA%97%20%E5%B7%A5%E5%85%B7%E8%BD%A6%20%E5%B8%A6%E6%8A%BD%E5%B1%89%20%E5%90%B9%E9%A3%8E%E6%9C%BA%E6%9E%B6" TargetMode="External" Id="rId17"/><Relationship Type="http://schemas.openxmlformats.org/officeDocument/2006/relationships/hyperlink" Target="https://www.amazon.co.jp/s?k=%E7%BE%8E%E5%AE%B9%E5%AE%A4%20%E3%83%AF%E3%82%B4%E3%83%B3" TargetMode="External" Id="rId18"/><Relationship Type="http://schemas.openxmlformats.org/officeDocument/2006/relationships/hyperlink" Target="https://sakura-checker.jp/search/B099RYLG3S/" TargetMode="External" Id="rId19"/><Relationship Type="http://schemas.openxmlformats.org/officeDocument/2006/relationships/hyperlink" Target="https://s.1688.com/selloffer/offer_search.htm?charset=utf8&amp;keywords=%E7%8C%AB%E7%88%AC%E6%9E%B6%20%E5%A4%A7%E5%9E%8B%20%E7%BC%85%E5%9B%A0%E7%8C%AB%20%E7%B2%97%E6%9F%B1%20%E8%90%BD%E5%9C%B0%20180" TargetMode="External" Id="rId20"/><Relationship Type="http://schemas.openxmlformats.org/officeDocument/2006/relationships/hyperlink" Target="https://www.amazon.co.jp/s?k=%E3%82%AD%E3%83%A3%E3%83%83%E3%83%88%E3%82%BF%E3%83%AF%E3%83%BC%20%E5%A4%A7%E5%9E%8B%E7%8C%AB%20%E6%8D%AE%E3%81%88%E7%BD%AE%E3%81%8D" TargetMode="External" Id="rId21"/><Relationship Type="http://schemas.openxmlformats.org/officeDocument/2006/relationships/hyperlink" Target="https://store.shopping.yahoo.co.jp/tansu/17600169.html" TargetMode="External" Id="rId22"/><Relationship Type="http://schemas.openxmlformats.org/officeDocument/2006/relationships/hyperlink" Target="https://s.1688.com/selloffer/offer_search.htm?charset=utf8&amp;keywords=%E5%BF%AB%E9%80%92%E7%AE%B1%20%E6%88%B7%E5%A4%96%20%E5%88%AB%E5%A2%85%20%E5%8C%85%E8%A3%B9%E7%AE%B1%20%E5%B8%A6%E4%BF%A1%E7%AE%B1%20%E5%A4%A7%E5%AE%B9%E9%87%8F%20%E7%BB%84%E8%A3%85" TargetMode="External" Id="rId23"/><Relationship Type="http://schemas.openxmlformats.org/officeDocument/2006/relationships/hyperlink" Target="https://www.amazon.co.jp/s?k=%E5%AE%85%E9%85%8D%E3%83%9C%E3%83%83%E3%82%AF%E3%82%B9%20%E6%88%B8%E5%BB%BA%E3%81%A6%20%E5%A4%A7%E5%AE%B9%E9%87%8F" TargetMode="External" Id="rId24"/><Relationship Type="http://schemas.openxmlformats.org/officeDocument/2006/relationships/hyperlink" Target="https://www.irisplaza.co.jp/index.php?KB=SHOSAI&amp;SID=P288209F" TargetMode="External" Id="rId25"/><Relationship Type="http://schemas.openxmlformats.org/officeDocument/2006/relationships/hyperlink" Target="https://s.1688.com/selloffer/offer_search.htm?charset=utf8&amp;keywords=%E7%8C%AB%E7%A0%82%E7%9B%86%E6%9F%9C%20%E9%9A%90%E8%97%8F%E5%BC%8F%20%E7%8C%AB%E5%8E%95%E6%89%80%E6%9F%9C" TargetMode="External" Id="rId26"/><Relationship Type="http://schemas.openxmlformats.org/officeDocument/2006/relationships/hyperlink" Target="https://www.amazon.co.jp/s?k=%E7%8C%AB%E3%83%88%E3%82%A4%E3%83%AC%20%E5%8F%8E%E7%B4%8D%20%E3%82%AD%E3%83%A3%E3%83%93%E3%83%8D%E3%83%83%E3%83%88" TargetMode="External" Id="rId27"/><Relationship Type="http://schemas.openxmlformats.org/officeDocument/2006/relationships/hyperlink" Target="https://search.kakaku.com/%E3%83%AD%E3%83%83%E3%83%89%E3%82%B9%E3%82%BF%E3%83%B3%E3%83%89/" TargetMode="External" Id="rId28"/><Relationship Type="http://schemas.openxmlformats.org/officeDocument/2006/relationships/hyperlink" Target="https://s.1688.com/selloffer/offer_search.htm?charset=utf8&amp;keywords=%E9%B1%BC%E7%AB%BF%E6%9E%B6%20%E8%90%BD%E5%9C%B0%20%E6%94%B6%E7%BA%B3%20%E5%A4%9A%E6%9D%86%E4%BD%8D" TargetMode="External" Id="rId29"/><Relationship Type="http://schemas.openxmlformats.org/officeDocument/2006/relationships/hyperlink" Target="https://www.amazon.co.jp/s?k=%E3%83%AD%E3%83%83%E3%83%89%E3%82%B9%E3%82%BF%E3%83%B3%E3%83%89" TargetMode="External" Id="rId30"/><Relationship Type="http://schemas.openxmlformats.org/officeDocument/2006/relationships/hyperlink" Target="https://www.amazon.co.jp/gp/bestsellers/diy/10472105051" TargetMode="External" Id="rId31"/><Relationship Type="http://schemas.openxmlformats.org/officeDocument/2006/relationships/hyperlink" Target="https://s.1688.com/selloffer/offer_search.htm?charset=utf8&amp;keywords=%E9%95%80%E9%94%8C%E7%A7%8D%E6%A4%8D%E7%AE%B1%20%E6%8A%AC%E9%AB%98%20%E8%8F%9C%E5%9B%AD%20%E5%A4%A7%E5%9E%8B" TargetMode="External" Id="rId32"/><Relationship Type="http://schemas.openxmlformats.org/officeDocument/2006/relationships/hyperlink" Target="https://www.amazon.co.jp/s?k=%E3%83%AC%E3%82%A4%E3%82%BA%E3%83%89%E3%83%99%E3%83%83%E3%83%89" TargetMode="External" Id="rId33"/><Relationship Type="http://schemas.openxmlformats.org/officeDocument/2006/relationships/hyperlink" Target="https://www.amazon.co.jp/dp/B074J5WJ36" TargetMode="External" Id="rId34"/><Relationship Type="http://schemas.openxmlformats.org/officeDocument/2006/relationships/hyperlink" Target="https://s.1688.com/selloffer/offer_search.htm?charset=utf8&amp;keywords=%E4%B8%8D%E9%94%88%E9%92%A2%E6%8E%A8%E8%BD%A6%20%E4%B8%89%E5%B1%82%20%E9%9D%99%E9%9F%B3%E8%BD%AE%20%E9%A4%90%E8%BD%A6" TargetMode="External" Id="rId35"/><Relationship Type="http://schemas.openxmlformats.org/officeDocument/2006/relationships/hyperlink" Target="https://www.amazon.co.jp/s?k=%E3%82%B9%E3%83%86%E3%83%B3%E3%83%AC%E3%82%B9%E3%83%AF%E3%82%B4%E3%83%B3%203%E6%AE%B5" TargetMode="External" Id="rId36"/><Relationship Type="http://schemas.openxmlformats.org/officeDocument/2006/relationships/hyperlink" Target="https://search.kakaku.com/%E3%83%80%E3%83%B3%E3%83%99%E3%83%AB%E3%83%A9%E3%83%83%E3%82%AF/" TargetMode="External" Id="rId37"/><Relationship Type="http://schemas.openxmlformats.org/officeDocument/2006/relationships/hyperlink" Target="https://s.1688.com/selloffer/offer_search.htm?charset=utf8&amp;keywords=%E5%93%91%E9%93%83%E6%9E%B6%20%E6%9D%A0%E9%93%83%E7%89%87%E6%9E%B6%20%E5%81%A5%E8%BA%AB%E5%99%A8%E6%9D%90%E6%94%B6%E7%BA%B3%E6%9E%B6" TargetMode="External" Id="rId38"/><Relationship Type="http://schemas.openxmlformats.org/officeDocument/2006/relationships/hyperlink" Target="https://www.amazon.co.jp/s?k=%E3%83%80%E3%83%B3%E3%83%99%E3%83%AB%E3%83%A9%E3%83%83%E3%82%AF" TargetMode="External" Id="rId39"/><Relationship Type="http://schemas.openxmlformats.org/officeDocument/2006/relationships/hyperlink" Target="https://shopping.yahoo.co.jp/search/%E8%A6%B3%E8%91%89%E6%A4%8D%E7%89%A9+%E3%83%A9%E3%83%83%E3%82%AF/0/" TargetMode="External" Id="rId40"/><Relationship Type="http://schemas.openxmlformats.org/officeDocument/2006/relationships/hyperlink" Target="https://s.1688.com/selloffer/offer_search.htm?charset=utf8&amp;keywords=%E8%8A%B1%E6%9E%B6%20%E5%A4%9A%E5%B1%82%20%E5%AE%A4%E5%86%85%20%E9%93%81%E8%89%BA%20%E5%A4%A7%E5%9E%8B" TargetMode="External" Id="rId41"/><Relationship Type="http://schemas.openxmlformats.org/officeDocument/2006/relationships/hyperlink" Target="https://www.amazon.co.jp/s?k=%E3%83%95%E3%83%A9%E3%83%AF%E3%83%BC%E3%82%B9%E3%82%BF%E3%83%B3%E3%83%89%20%E5%AE%A4%E5%86%85%20%E5%A4%A7%E5%9E%8B" TargetMode="External" Id="rId42"/><Relationship Type="http://schemas.openxmlformats.org/officeDocument/2006/relationships/hyperlink" Target="https://www.amazon.co.jp/dp/B0DDC8VVM2" TargetMode="External" Id="rId43"/><Relationship Type="http://schemas.openxmlformats.org/officeDocument/2006/relationships/hyperlink" Target="https://s.1688.com/selloffer/offer_search.htm?charset=utf8&amp;keywords=%E9%85%92%E5%BA%97%E5%B8%83%E8%8D%89%E8%BD%A6%20%E5%B8%83%E8%8D%89%E6%94%B6%E9%9B%86%E8%BD%A6%20%E5%B8%A6%E8%BD%AE%20%E5%B8%86%E5%B8%83%E8%A2%8B" TargetMode="External" Id="rId44"/><Relationship Type="http://schemas.openxmlformats.org/officeDocument/2006/relationships/hyperlink" Target="https://www.amazon.co.jp/s?k=%E3%83%AA%E3%83%8D%E3%83%B3%E3%82%AB%E3%83%BC%E3%83%88%20%E6%A5%AD%E5%8B%99%E7%94%A8" TargetMode="External" Id="rId45"/><Relationship Type="http://schemas.openxmlformats.org/officeDocument/2006/relationships/hyperlink" Target="https://www.amazon.co.jp/dp/B0D9GJ5W3W" TargetMode="External" Id="rId46"/><Relationship Type="http://schemas.openxmlformats.org/officeDocument/2006/relationships/hyperlink" Target="https://s.1688.com/selloffer/offer_search.htm?charset=utf8&amp;keywords=%E5%9B%AD%E8%89%BA%E5%B7%A5%E4%BD%9C%E5%8F%B0%20%E6%8D%A2%E7%9B%86%E6%A1%8C%20%E5%AE%9E%E6%9C%A8%20%E6%88%B7%E5%A4%96" TargetMode="External" Id="rId47"/><Relationship Type="http://schemas.openxmlformats.org/officeDocument/2006/relationships/hyperlink" Target="https://www.amazon.co.jp/s?k=%E3%83%9D%E3%83%83%E3%83%86%E3%82%A3%E3%83%B3%E3%82%B0%E3%83%99%E3%83%B3%E3%83%81" TargetMode="External" Id="rId48"/><Relationship Type="http://schemas.openxmlformats.org/officeDocument/2006/relationships/hyperlink" Target="https://www.amazon.co.jp/dp/B0C9CMC968" TargetMode="External" Id="rId49"/><Relationship Type="http://schemas.openxmlformats.org/officeDocument/2006/relationships/hyperlink" Target="https://s.1688.com/selloffer/offer_search.htm?charset=utf8&amp;keywords=%E9%87%8D%E5%9E%8B%E8%A1%A3%E6%9E%B6%20%E8%90%BD%E5%9C%B0%20%E5%8F%8C%E6%9D%86%20%E5%B8%A6%E8%BD%AE%20%E6%89%BF%E9%87%8D" TargetMode="External" Id="rId50"/><Relationship Type="http://schemas.openxmlformats.org/officeDocument/2006/relationships/hyperlink" Target="https://www.amazon.co.jp/s?k=%E3%83%8F%E3%83%B3%E3%82%AC%E3%83%BC%E3%83%A9%E3%83%83%E3%82%AF%20%E9%A0%91%E4%B8%88" TargetMode="External" Id="rId51"/><Relationship Type="http://schemas.openxmlformats.org/officeDocument/2006/relationships/hyperlink" Target="https://search.kakaku.com/%E7%8A%AC%20%E3%82%B9%E3%83%AD%E3%83%BC%E3%83%97/" TargetMode="External" Id="rId52"/><Relationship Type="http://schemas.openxmlformats.org/officeDocument/2006/relationships/hyperlink" Target="https://s.1688.com/selloffer/offer_search.htm?charset=utf8&amp;keywords=%E5%AE%A0%E7%89%A9%E5%9D%A1%E9%81%93%20%E6%8A%98%E5%8F%A0%20%E7%8B%97%E6%A5%BC%E6%A2%AF%20%E6%B2%99%E5%8F%91%20%E6%B1%BD%E8%BD%A6" TargetMode="External" Id="rId53"/><Relationship Type="http://schemas.openxmlformats.org/officeDocument/2006/relationships/hyperlink" Target="https://www.amazon.co.jp/s?k=%E7%8A%AC%20%E3%82%B9%E3%83%AD%E3%83%BC%E3%83%97%20%E6%8A%98%E3%82%8A%E3%81%9F%E3%81%9F%E3%81%BF" TargetMode="External" Id="rId54"/><Relationship Type="http://schemas.openxmlformats.org/officeDocument/2006/relationships/hyperlink" Target="https://ranking.rakuten.co.jp/daily/406380/" TargetMode="External" Id="rId55"/><Relationship Type="http://schemas.openxmlformats.org/officeDocument/2006/relationships/hyperlink" Target="https://s.1688.com/selloffer/offer_search.htm?charset=utf8&amp;keywords=%E5%8E%A8%E6%88%BF%E5%B2%9B%E5%8F%B0%20%E7%A7%BB%E5%8A%A8%20%E5%B8%A6%E8%BD%AE%20%E9%A4%90%E8%BE%B9%E6%9F%9C%20%E6%8A%98%E5%8F%A0" TargetMode="External" Id="rId56"/><Relationship Type="http://schemas.openxmlformats.org/officeDocument/2006/relationships/hyperlink" Target="https://www.amazon.co.jp/s?k=%E3%82%AD%E3%83%83%E3%83%81%E3%83%B3%E3%83%AF%E3%82%B4%E3%83%B3%20%E3%82%A2%E3%82%A4%E3%83%A9%E3%83%B3%E3%83%89" TargetMode="External" Id="rId57"/><Relationship Type="http://schemas.openxmlformats.org/officeDocument/2006/relationships/hyperlink" Target="https://www.sanwa.co.jp/info/news/202312/rac-wdk10070w/index.html" TargetMode="External" Id="rId58"/><Relationship Type="http://schemas.openxmlformats.org/officeDocument/2006/relationships/hyperlink" Target="https://s.1688.com/selloffer/offer_search.htm?charset=utf8&amp;keywords=%E6%89%93%E5%8C%85%E5%8F%B0%20%E5%8C%85%E8%A3%85%E5%B7%A5%E4%BD%9C%E5%8F%B0%20%E7%94%B5%E5%95%86%20%E4%BB%93%E5%BA%93" TargetMode="External" Id="rId59"/><Relationship Type="http://schemas.openxmlformats.org/officeDocument/2006/relationships/hyperlink" Target="https://www.amazon.co.jp/s?k=%E6%A2%B1%E5%8C%85%E5%8F%B0%20%E4%BD%9C%E6%A5%AD%E5%8F%B0" TargetMode="External" Id="rId60"/><Relationship Type="http://schemas.openxmlformats.org/officeDocument/2006/relationships/hyperlink" Target="https://search.kakaku.com/%E5%B1%8B%E5%A4%96%20%E3%82%B4%E3%83%9F%E3%82%B9%E3%83%88%E3%83%83%E3%82%AB%E3%83%BC/" TargetMode="External" Id="rId61"/><Relationship Type="http://schemas.openxmlformats.org/officeDocument/2006/relationships/hyperlink" Target="https://s.1688.com/selloffer/offer_search.htm?charset=utf8&amp;keywords=%E6%88%B7%E5%A4%96%E5%9E%83%E5%9C%BE%E6%94%B6%E7%BA%B3%E6%9F%9C%20%E9%95%80%E9%94%8C%20%E5%A4%A7%E5%9E%8B%20%E5%9E%83%E5%9C%BE%E6%88%BF" TargetMode="External" Id="rId62"/><Relationship Type="http://schemas.openxmlformats.org/officeDocument/2006/relationships/hyperlink" Target="https://www.amazon.co.jp/s?k=%E3%82%B4%E3%83%9F%E3%82%B9%E3%83%88%E3%83%83%E3%82%AB%E3%83%BC%20%E5%B1%8B%E5%A4%96%20%E5%A4%A7%E5%9E%8B" TargetMode="External" Id="rId63"/><Relationship Type="http://schemas.openxmlformats.org/officeDocument/2006/relationships/hyperlink" Target="https://www.amazon.co.jp/dp/B0CLNHY88K" TargetMode="External" Id="rId64"/><Relationship Type="http://schemas.openxmlformats.org/officeDocument/2006/relationships/hyperlink" Target="https://s.1688.com/selloffer/offer_search.htm?charset=utf8&amp;keywords=%E5%B7%A5%E5%85%B7%E8%BD%A6%20%E4%B8%89%E5%B1%82%20%E6%8E%A8%E8%BD%A6%20%E5%B8%A6%E6%8A%BD%E5%B1%89%20%E7%BB%B4%E4%BF%AE" TargetMode="External" Id="rId65"/><Relationship Type="http://schemas.openxmlformats.org/officeDocument/2006/relationships/hyperlink" Target="https://www.amazon.co.jp/s?k=%E3%83%84%E3%83%BC%E3%83%AB%E3%83%AF%E3%82%B4%E3%83%B3" TargetMode="External" Id="rId66"/><Relationship Type="http://schemas.openxmlformats.org/officeDocument/2006/relationships/hyperlink" Target="https://search.kakaku.com/%E3%83%A9%E3%83%B3%E3%83%89%E3%83%AA%E3%83%BC%E3%83%AF%E3%82%B4%E3%83%B3/" TargetMode="External" Id="rId67"/><Relationship Type="http://schemas.openxmlformats.org/officeDocument/2006/relationships/hyperlink" Target="https://s.1688.com/selloffer/offer_search.htm?charset=utf8&amp;keywords=%E8%84%8F%E8%A1%A3%E7%AF%AE%20%E5%88%86%E7%B1%BB%20%E4%B8%89%E6%A0%BC%20%E5%B8%A6%E8%BD%AE%20%E5%B8%A6%E5%8F%B0%E9%9D%A2" TargetMode="External" Id="rId68"/><Relationship Type="http://schemas.openxmlformats.org/officeDocument/2006/relationships/hyperlink" Target="https://www.amazon.co.jp/s?k=%E3%83%A9%E3%83%B3%E3%83%89%E3%83%AA%E3%83%BC%E3%83%AF%E3%82%B4%E3%83%B3%20%E5%88%86%E5%88%A5" TargetMode="External" Id="rId69"/><Relationship Type="http://schemas.openxmlformats.org/officeDocument/2006/relationships/hyperlink" Target="https://www.amazon.co.jp/s?k=%E3%82%B4%E3%83%9F%E7%AE%B1+45l+3%E5%88%86%E5%88%A5" TargetMode="External" Id="rId70"/><Relationship Type="http://schemas.openxmlformats.org/officeDocument/2006/relationships/hyperlink" Target="https://s.1688.com/selloffer/offer_search.htm?charset=utf8&amp;keywords=%E5%9E%83%E5%9C%BE%E6%A1%B6%E7%BD%AE%E7%89%A9%E6%9E%B6%20%E4%B8%89%E6%A0%BC%20%E5%8E%A8%E6%88%BF%20%E8%90%BD%E5%9C%B0" TargetMode="External" Id="rId71"/><Relationship Type="http://schemas.openxmlformats.org/officeDocument/2006/relationships/hyperlink" Target="https://www.amazon.co.jp/s?k=%E3%82%B4%E3%83%9F%E7%AE%B1%20%E4%B8%8A%20%E3%83%A9%E3%83%83%E3%82%AF%2045L" TargetMode="External" Id="rId72"/><Relationship Type="http://schemas.openxmlformats.org/officeDocument/2006/relationships/hyperlink" Target="https://search.kakaku.com/%E3%83%88%E3%83%AA%E3%83%9F%E3%83%B3%E3%82%B0%E3%83%86%E3%83%BC%E3%83%96%E3%83%AB%20%E6%8A%98%E3%82%8A%E3%81%9F%E3%81%9F%E3%81%BF%20%E3%82%B3%E3%83%B3%E3%83%91%E3%82%AF%E3%83%88/" TargetMode="External" Id="rId73"/><Relationship Type="http://schemas.openxmlformats.org/officeDocument/2006/relationships/hyperlink" Target="https://s.1688.com/selloffer/offer_search.htm?charset=utf8&amp;keywords=%E5%AE%A0%E7%89%A9%E7%BE%8E%E5%AE%B9%E5%8F%B0%20%E6%8A%98%E5%8F%A0%20%E5%8D%87%E9%99%8D%20%E5%B8%A6%E5%90%8A%E6%9D%86" TargetMode="External" Id="rId74"/><Relationship Type="http://schemas.openxmlformats.org/officeDocument/2006/relationships/hyperlink" Target="https://www.amazon.co.jp/s?k=%E3%83%88%E3%83%AA%E3%83%9F%E3%83%B3%E3%82%B0%E3%83%86%E3%83%BC%E3%83%96%E3%83%AB" TargetMode="External" Id="rId75"/><Relationship Type="http://schemas.openxmlformats.org/officeDocument/2006/relationships/hyperlink" Target="https://search.kakaku.com/%E7%8C%AB%20%E5%8F%8E%E7%B4%8D/" TargetMode="External" Id="rId76"/><Relationship Type="http://schemas.openxmlformats.org/officeDocument/2006/relationships/hyperlink" Target="https://s.1688.com/selloffer/offer_search.htm?charset=utf8&amp;keywords=%E5%AE%A0%E7%89%A9%E7%94%A8%E5%93%81%E6%94%B6%E7%BA%B3%E6%9F%9C%20%E7%B2%AE%E6%A1%B6%20%E7%8B%97%E7%B2%AE%E6%9F%9C" TargetMode="External" Id="rId77"/><Relationship Type="http://schemas.openxmlformats.org/officeDocument/2006/relationships/hyperlink" Target="https://www.amazon.co.jp/s?k=%E3%83%9A%E3%83%83%E3%83%88%20%E5%8F%8E%E7%B4%8D%20%E3%83%A9%E3%83%83%E3%82%AF" TargetMode="External" Id="rId78"/><Relationship Type="http://schemas.openxmlformats.org/officeDocument/2006/relationships/hyperlink" Target="https://search.kakaku.com/%E3%83%A2%E3%83%8B%E3%82%BF%E3%83%BC%E5%8F%B0%20120cm/" TargetMode="External" Id="rId79"/><Relationship Type="http://schemas.openxmlformats.org/officeDocument/2006/relationships/hyperlink" Target="https://s.1688.com/selloffer/offer_search.htm?charset=utf8&amp;keywords=%E6%A1%8C%E4%B8%8A%E7%BD%AE%E7%89%A9%E6%9E%B6%20%E6%98%BE%E7%A4%BA%E5%99%A8%E5%A2%9E%E9%AB%98%E6%9E%B6%20%E5%8F%8C%E5%B1%82%20120cm" TargetMode="External" Id="rId80"/><Relationship Type="http://schemas.openxmlformats.org/officeDocument/2006/relationships/hyperlink" Target="https://www.amazon.co.jp/s?k=%E6%9C%BA%E4%B8%8A%E3%83%A9%E3%83%83%E3%82%AF%20120" TargetMode="External" Id="rId81"/><Relationship Type="http://schemas.openxmlformats.org/officeDocument/2006/relationships/hyperlink" Target="https://search.kakaku.com/%E3%83%9F%E3%82%B7%E3%83%B3%E5%8F%B0%20%E6%8A%98%E3%82%8A%E3%81%9F%E3%81%9F%E3%81%BF/" TargetMode="External" Id="rId82"/><Relationship Type="http://schemas.openxmlformats.org/officeDocument/2006/relationships/hyperlink" Target="https://s.1688.com/selloffer/offer_search.htm?charset=utf8&amp;keywords=%E7%BC%9D%E7%BA%AB%E6%9C%BA%E6%A1%8C%20%E6%8A%98%E5%8F%A0%20%E5%B8%A6%E8%BD%AE%20%E6%94%B6%E7%BA%B3" TargetMode="External" Id="rId83"/><Relationship Type="http://schemas.openxmlformats.org/officeDocument/2006/relationships/hyperlink" Target="https://www.amazon.co.jp/s?k=%E3%83%9F%E3%82%B7%E3%83%B3%E5%8F%B0%20%E6%8A%98%E3%82%8A%E3%81%9F%E3%81%9F%E3%81%BF" TargetMode="External" Id="rId84"/><Relationship Type="http://schemas.openxmlformats.org/officeDocument/2006/relationships/hyperlink" Target="https://kurashi.biglobe.ne.jp/rankings/11841/" TargetMode="External" Id="rId85"/><Relationship Type="http://schemas.openxmlformats.org/officeDocument/2006/relationships/hyperlink" Target="https://s.1688.com/selloffer/offer_search.htm?charset=utf8&amp;keywords=%E5%AE%B6%E5%85%B7%E5%BC%8F%E7%8B%97%E7%AC%BC%20%E5%AE%9E%E6%9C%A8%20%E8%BE%B9%E6%A1%8C%20%E4%B8%AD%E5%A4%A7%E5%9E%8B%E7%8A%AC" TargetMode="External" Id="rId86"/><Relationship Type="http://schemas.openxmlformats.org/officeDocument/2006/relationships/hyperlink" Target="https://www.amazon.co.jp/s?k=%E7%8A%AC%20%E3%82%B1%E3%83%BC%E3%82%B8%20%E6%9C%A8%E8%A3%BD%20%E5%AE%B6%E5%85%B7" TargetMode="External" Id="rId87"/><Relationship Type="http://schemas.openxmlformats.org/officeDocument/2006/relationships/hyperlink" Target="https://www.irisplaza.co.jp/index.php?KB=SHOSAI&amp;SID=7045887" TargetMode="External" Id="rId88"/><Relationship Type="http://schemas.openxmlformats.org/officeDocument/2006/relationships/hyperlink" Target="https://s.1688.com/selloffer/offer_search.htm?charset=utf8&amp;keywords=%E8%BD%AE%E8%83%8E%E6%9E%B6%20%E8%BD%AE%E8%83%8E%E6%94%B6%E7%BA%B3%E6%9E%B6%20%E5%B8%A6%E7%BD%A9%20%E5%B8%A6%E8%BD%AE%208%E6%9D%A1" TargetMode="External" Id="rId89"/><Relationship Type="http://schemas.openxmlformats.org/officeDocument/2006/relationships/hyperlink" Target="https://www.amazon.co.jp/s?k=%E3%82%BF%E3%82%A4%E3%83%A4%E3%83%A9%E3%83%83%E3%82%AF%208%E6%9C%AC%20%E3%82%AB%E3%83%90%E3%83%BC" TargetMode="External" Id="rId90"/><Relationship Type="http://schemas.openxmlformats.org/officeDocument/2006/relationships/hyperlink" Target="https://search.kakaku.com/%E3%83%99%E3%83%83%E3%83%89%E3%83%86%E3%83%BC%E3%83%96%E3%83%AB%20%E4%BB%8B%E8%AD%B7/" TargetMode="External" Id="rId91"/><Relationship Type="http://schemas.openxmlformats.org/officeDocument/2006/relationships/hyperlink" Target="https://s.1688.com/selloffer/offer_search.htm?charset=utf8&amp;keywords=%E5%BA%8A%E8%BE%B9%E6%A1%8C%20%E5%8D%87%E9%99%8D%20%E5%8F%AF%E7%A7%BB%E5%8A%A8%20%E6%8A%A4%E7%90%86%E6%A1%8C%20%E5%B8%A6%E8%BD%AE" TargetMode="External" Id="rId92"/><Relationship Type="http://schemas.openxmlformats.org/officeDocument/2006/relationships/hyperlink" Target="https://www.amazon.co.jp/s?k=%E3%83%99%E3%83%83%E3%83%89%E3%83%86%E3%83%BC%E3%83%96%E3%83%AB%20%E6%98%87%E9%99%8D%20%E3%82%AD%E3%83%A3%E3%82%B9%E3%82%BF%E3%83%BC" TargetMode="External" Id="rId93"/><Relationship Type="http://schemas.openxmlformats.org/officeDocument/2006/relationships/hyperlink" Target="https://search.kakaku.com/%E5%AE%A4%E5%A4%96%E6%A9%9F%E3%83%A9%E3%83%83%E3%82%AF/" TargetMode="External" Id="rId94"/><Relationship Type="http://schemas.openxmlformats.org/officeDocument/2006/relationships/hyperlink" Target="https://s.1688.com/selloffer/offer_search.htm?charset=utf8&amp;keywords=%E7%A9%BA%E8%B0%83%E5%A4%96%E6%9C%BA%E7%BD%A9%20%E7%BD%AE%E7%89%A9%E6%9E%B6%20%E6%88%B7%E5%A4%96%20%E9%98%B2%E6%99%92" TargetMode="External" Id="rId95"/><Relationship Type="http://schemas.openxmlformats.org/officeDocument/2006/relationships/hyperlink" Target="https://www.amazon.co.jp/s?k=%E5%AE%A4%E5%A4%96%E6%A9%9F%E3%82%AB%E3%83%90%E3%83%BC%20%E6%A3%9A" TargetMode="External" Id="rId96"/><Relationship Type="http://schemas.openxmlformats.org/officeDocument/2006/relationships/hyperlink" Target="https://search.kakaku.com/%E7%8E%84%E9%96%A2%E3%83%99%E3%83%B3%E3%83%81%20%E5%8F%8E%E7%B4%8D/" TargetMode="External" Id="rId97"/><Relationship Type="http://schemas.openxmlformats.org/officeDocument/2006/relationships/hyperlink" Target="https://s.1688.com/selloffer/offer_search.htm?charset=utf8&amp;keywords=%E6%8D%A2%E9%9E%8B%E5%87%B3%20%E6%94%B6%E7%BA%B3%E5%87%B3%20%E7%8E%84%E5%85%B3%20%E9%95%BF%E5%87%B3" TargetMode="External" Id="rId98"/><Relationship Type="http://schemas.openxmlformats.org/officeDocument/2006/relationships/hyperlink" Target="https://www.amazon.co.jp/s?k=%E7%8E%84%E9%96%A2%E3%83%99%E3%83%B3%E3%83%81%20%E5%8F%8E%E7%B4%8D" TargetMode="External" Id="rId99"/><Relationship Type="http://schemas.openxmlformats.org/officeDocument/2006/relationships/hyperlink" Target="https://www.amazon.co.jp/dp/B07TVCLGFM" TargetMode="External" Id="rId100"/><Relationship Type="http://schemas.openxmlformats.org/officeDocument/2006/relationships/hyperlink" Target="https://s.1688.com/selloffer/offer_search.htm?charset=utf8&amp;keywords=%E9%9D%99%E9%9F%B3%E5%B9%B3%E6%9D%BF%E8%BD%A6%20%E6%8A%98%E5%8F%A0%20%E6%89%8B%E6%8E%A8%E8%BD%A6%20300kg" TargetMode="External" Id="rId101"/><Relationship Type="http://schemas.openxmlformats.org/officeDocument/2006/relationships/hyperlink" Target="https://www.amazon.co.jp/s?k=%E5%8F%B0%E8%BB%8A%20%E6%8A%98%E3%82%8A%E3%81%9F%E3%81%9F%E3%81%BF%20%E9%9D%99%E9%9F%B3" TargetMode="External" Id="rId102"/><Relationship Type="http://schemas.openxmlformats.org/officeDocument/2006/relationships/hyperlink" Target="https://search.kakaku.com/%E3%82%B9%E3%83%81%E3%83%BC%E3%83%AB%20%E3%83%A9%E3%83%83%E3%82%AF%20%E3%82%AC%E3%83%AC%E3%83%BC%E3%82%B8/" TargetMode="External" Id="rId103"/><Relationship Type="http://schemas.openxmlformats.org/officeDocument/2006/relationships/hyperlink" Target="https://s.1688.com/selloffer/offer_search.htm?charset=utf8&amp;keywords=%E5%85%8D%E8%9E%BA%E4%B8%9D%E8%B4%A7%E6%9E%B6%20%E9%87%8D%E5%9E%8B%20%E4%BB%93%E5%BA%93%20%E8%BD%A6%E5%BA%93%20%E4%BA%94%E5%B1%82" TargetMode="External" Id="rId104"/><Relationship Type="http://schemas.openxmlformats.org/officeDocument/2006/relationships/hyperlink" Target="https://www.amazon.co.jp/s?k=%E3%82%B9%E3%83%81%E3%83%BC%E3%83%AB%E3%83%A9%E3%83%83%E3%82%AF%20%E3%82%AC%E3%83%AC%E3%83%BC%E3%82%B8" TargetMode="External" Id="rId105"/><Relationship Type="http://schemas.openxmlformats.org/officeDocument/2006/relationships/hyperlink" Target="https://search.kakaku.com/%E3%82%B3%E3%83%AC%E3%82%AF%E3%82%B7%E3%83%A7%E3%83%B3%E3%82%B1%E3%83%BC%E3%82%B9%20%E5%A4%A7%E5%9E%8B/" TargetMode="External" Id="rId106"/><Relationship Type="http://schemas.openxmlformats.org/officeDocument/2006/relationships/hyperlink" Target="https://s.1688.com/selloffer/offer_search.htm?charset=utf8&amp;keywords=%E7%8E%BB%E7%92%83%E5%B1%95%E7%A4%BA%E6%9F%9C%20%E6%89%8B%E5%8A%9E%E6%9F%9C%20LED%20%E5%B8%A6%E9%94%81" TargetMode="External" Id="rId107"/><Relationship Type="http://schemas.openxmlformats.org/officeDocument/2006/relationships/hyperlink" Target="https://www.amazon.co.jp/s?k=%E3%82%B3%E3%83%AC%E3%82%AF%E3%82%B7%E3%83%A7%E3%83%B3%E3%82%B1%E3%83%BC%E3%82%B9%20%E5%A4%A7%E5%9E%8B%20%E3%82%AC%E3%83%A9%E3%82%B9" TargetMode="External" Id="rId108"/><Relationship Type="http://schemas.openxmlformats.org/officeDocument/2006/relationships/hyperlink" Target="https://sakura-checker.jp/search/B0736Z2GRJ/" TargetMode="External" Id="rId109"/><Relationship Type="http://schemas.openxmlformats.org/officeDocument/2006/relationships/hyperlink" Target="https://s.1688.com/selloffer/offer_search.htm?charset=utf8&amp;keywords=%E6%88%B7%E5%A4%96%E6%94%B6%E7%BA%B3%E5%87%B3%20%E5%A1%91%E6%96%99%20%E5%82%A8%E7%89%A9%E7%AE%B1%20%E9%95%BF%E5%87%B3%20%E8%8A%B1%E5%9B%AD" TargetMode="External" Id="rId110"/><Relationship Type="http://schemas.openxmlformats.org/officeDocument/2006/relationships/hyperlink" Target="https://www.amazon.co.jp/s?k=%E5%8F%8E%E7%B4%8D%E3%83%99%E3%83%B3%E3%83%81%20%E5%B1%8B%E5%A4%96" TargetMode="External" Id="rId111"/><Relationship Type="http://schemas.openxmlformats.org/officeDocument/2006/relationships/hyperlink" Target="https://gardenlife-sai.jp/" TargetMode="External" Id="rId112"/><Relationship Type="http://schemas.openxmlformats.org/officeDocument/2006/relationships/hyperlink" Target="https://s.1688.com/selloffer/offer_search.htm?charset=utf8&amp;keywords=%E8%8A%B1%E7%AE%B1%E5%9B%B4%E6%A0%8F%20%E9%9A%94%E6%96%AD%20%E6%88%B7%E5%A4%96%20%E7%A7%8D%E6%A4%8D%E7%AE%B1%20%E5%B1%8F%E9%A3%8E" TargetMode="External" Id="rId113"/><Relationship Type="http://schemas.openxmlformats.org/officeDocument/2006/relationships/hyperlink" Target="https://www.amazon.co.jp/s?k=%E7%9B%AE%E9%9A%A0%E3%81%97%E3%83%95%E3%82%A7%E3%83%B3%E3%82%B9%20%E3%83%97%E3%83%A9%E3%83%B3%E3%82%BF%E3%83%BC" TargetMode="External" Id="rId114"/><Relationship Type="http://schemas.openxmlformats.org/officeDocument/2006/relationships/hyperlink" Target="https://search.kakaku.com/3%E9%80%A3%20%E3%83%91%E3%83%BC%E3%83%86%E3%83%BC%E3%82%B7%E3%83%A7%E3%83%B3/" TargetMode="External" Id="rId115"/><Relationship Type="http://schemas.openxmlformats.org/officeDocument/2006/relationships/hyperlink" Target="https://s.1688.com/selloffer/offer_search.htm?charset=utf8&amp;keywords=%E5%B1%8F%E9%A3%8E%E9%9A%94%E6%96%AD%20%E6%8A%98%E5%8F%A0%20%E4%B8%89%E6%89%87%20%E5%8A%9E%E5%85%AC%E5%AE%A4" TargetMode="External" Id="rId116"/><Relationship Type="http://schemas.openxmlformats.org/officeDocument/2006/relationships/hyperlink" Target="https://www.amazon.co.jp/s?k=%E3%83%91%E3%83%BC%E3%83%86%E3%83%BC%E3%82%B7%E3%83%A7%E3%83%B3%203%E9%80%A3" TargetMode="External" Id="rId117"/><Relationship Type="http://schemas.openxmlformats.org/officeDocument/2006/relationships/hyperlink" Target="https://store.shopping.yahoo.co.jp/tenton-store/whiteboard90180.html" TargetMode="External" Id="rId118"/><Relationship Type="http://schemas.openxmlformats.org/officeDocument/2006/relationships/hyperlink" Target="https://s.1688.com/selloffer/offer_search.htm?charset=utf8&amp;keywords=%E7%A7%BB%E5%8A%A8%E7%99%BD%E6%9D%BF%20%E5%8F%8C%E9%9D%A2%20%E6%94%AF%E6%9E%B6%E5%BC%8F%20%E7%A3%81%E6%80%A7%201800" TargetMode="External" Id="rId119"/><Relationship Type="http://schemas.openxmlformats.org/officeDocument/2006/relationships/hyperlink" Target="https://www.amazon.co.jp/s?k=%E3%83%9B%E3%83%AF%E3%82%A4%E3%83%88%E3%83%9C%E3%83%BC%E3%83%89%20%E7%A7%BB%E5%8B%95%E5%BC%8F%20%E4%B8%A1%E9%9D%A2" TargetMode="External" Id="rId1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urc-kawasesouba.jp/fx/index.php" TargetMode="External" Id="rId1"/><Relationship Type="http://schemas.openxmlformats.org/officeDocument/2006/relationships/hyperlink" Target="https://stockcrew.co.jp/insights/amazon-fee-2026" TargetMode="External" Id="rId2"/><Relationship Type="http://schemas.openxmlformats.org/officeDocument/2006/relationships/hyperlink" Target="https://brandbuppan.jp/amazon-selling-fee-tax/" TargetMode="External" Id="rId3"/><Relationship Type="http://schemas.openxmlformats.org/officeDocument/2006/relationships/hyperlink" Target="https://ecstarslab.com/blog/fba-tesuuryo/" TargetMode="External" Id="rId4"/><Relationship Type="http://schemas.openxmlformats.org/officeDocument/2006/relationships/hyperlink" Target="https://crest-international.jp/" TargetMode="External" Id="rId5"/><Relationship Type="http://schemas.openxmlformats.org/officeDocument/2006/relationships/hyperlink" Target="https://makoto-mall.jp/blog/china-to-japan/" TargetMode="External" Id="rId6"/><Relationship Type="http://schemas.openxmlformats.org/officeDocument/2006/relationships/hyperlink" Target="https://stockcrew.co.jp/insights/delivery-sagawa" TargetMode="External" Id="rId7"/><Relationship Type="http://schemas.openxmlformats.org/officeDocument/2006/relationships/hyperlink" Target="https://stockcrew.co.jp/insights/takuhaibin-size-comparison-2026" TargetMode="External" Id="rId8"/><Relationship Type="http://schemas.openxmlformats.org/officeDocument/2006/relationships/hyperlink" Target="https://www.ten-ton.com/service" TargetMode="External" Id="rId9"/><Relationship Type="http://schemas.openxmlformats.org/officeDocument/2006/relationships/hyperlink" Target="https://store.shopping.yahoo.co.jp/tansu/17600169.html" TargetMode="External" Id="rId10"/><Relationship Type="http://schemas.openxmlformats.org/officeDocument/2006/relationships/hyperlink" Target="https://store.shopping.yahoo.co.jp/lyq/bi.html" TargetMode="External" Id="rId11"/><Relationship Type="http://schemas.openxmlformats.org/officeDocument/2006/relationships/hyperlink" Target="https://sakura-checker.jp/search/B099RYLG3S/" TargetMode="External" Id="rId12"/><Relationship Type="http://schemas.openxmlformats.org/officeDocument/2006/relationships/hyperlink" Target="https://www.amazon.co.jp/gp/bestsellers/pet-supplies/2155374051" TargetMode="External" Id="rId13"/><Relationship Type="http://schemas.openxmlformats.org/officeDocument/2006/relationships/hyperlink" Target="https://www.amazon.co.jp/dp/B09TKTDXRQ" TargetMode="External" Id="rId14"/><Relationship Type="http://schemas.openxmlformats.org/officeDocument/2006/relationships/hyperlink" Target="https://store.shopping.yahoo.co.jp/adachiseisakusyo/2434.html" TargetMode="External" Id="rId15"/><Relationship Type="http://schemas.openxmlformats.org/officeDocument/2006/relationships/hyperlink" Target="https://www.amazon.co.jp/dp/B0DCMV6DKF" TargetMode="External" Id="rId16"/><Relationship Type="http://schemas.openxmlformats.org/officeDocument/2006/relationships/hyperlink" Target="https://www.amazon.co.jp/gp/bestsellers/office-products/89299051" TargetMode="External" Id="rId17"/><Relationship Type="http://schemas.openxmlformats.org/officeDocument/2006/relationships/hyperlink" Target="https://www.amazon.co.jp/dp/B07Q51GGGB" TargetMode="External" Id="rId18"/><Relationship Type="http://schemas.openxmlformats.org/officeDocument/2006/relationships/hyperlink" Target="https://store.shopping.yahoo.co.jp/discount-spirits2/a000000131862-copy.html" TargetMode="External" Id="rId19"/><Relationship Type="http://schemas.openxmlformats.org/officeDocument/2006/relationships/hyperlink" Target="https://www.bisella.com/wagon" TargetMode="External" Id="rId20"/><Relationship Type="http://schemas.openxmlformats.org/officeDocument/2006/relationships/hyperlink" Target="https://shopping.jreast.co.jp/index.php/products/detail/s243/s243-7045887" TargetMode="External" Id="rId21"/><Relationship Type="http://schemas.openxmlformats.org/officeDocument/2006/relationships/hyperlink" Target="https://ranking.rakuten.co.jp/daily/566511/" TargetMode="External" Id="rId22"/><Relationship Type="http://schemas.openxmlformats.org/officeDocument/2006/relationships/hyperlink" Target="https://shopping.yahoo.co.jp/products/ee81941d87" TargetMode="External" Id="rId23"/><Relationship Type="http://schemas.openxmlformats.org/officeDocument/2006/relationships/hyperlink" Target="https://shopping.jreast.co.jp/products/detail/s243/s243-7051525" TargetMode="External" Id="rId24"/><Relationship Type="http://schemas.openxmlformats.org/officeDocument/2006/relationships/hyperlink" Target="https://store.shopping.yahoo.co.jp/tenton-store/whiteboard90180.html" TargetMode="External" Id="rId25"/><Relationship Type="http://schemas.openxmlformats.org/officeDocument/2006/relationships/hyperlink" Target="https://www.amazon.co.jp/s?k=%E3%82%B4%E3%83%9F%E7%AE%B1+45l+3%E5%88%86%E5%88%A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30"/>
  <sheetViews>
    <sheetView zoomScale="9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2" customWidth="1" min="4" max="4"/>
    <col width="10" customWidth="1" min="5" max="5"/>
    <col width="13" customWidth="1" min="6" max="6"/>
    <col width="12" customWidth="1" min="7" max="7"/>
    <col width="12" customWidth="1" min="8" max="8"/>
    <col width="16" customWidth="1" min="9" max="9"/>
  </cols>
  <sheetData>
    <row r="1">
      <c r="B1" s="1" t="inlineStr">
        <is>
          <t>大型OEMリサーチ（神田式）サマリー　2026-09-24</t>
        </is>
      </c>
    </row>
    <row r="3" ht="15" customHeight="1">
      <c r="B3" s="2" t="inlineStr">
        <is>
          <t>結論</t>
        </is>
      </c>
    </row>
    <row r="4" ht="30" customHeight="1">
      <c r="B4" s="3" t="inlineStr">
        <is>
          <t>1. 前回の40候補を同じ条件（手数料15.4%/10.4%・広告10%・返品4%・保管・出荷作業・送料・関税込み）で試算すると、利益率15%以上は8商品。</t>
        </is>
      </c>
    </row>
    <row r="5" ht="30" customHeight="1">
      <c r="B5" s="3" t="inlineStr">
        <is>
          <t>2. 月利100万円に最も近いのは『大型宅配ボックス』と『大型猫用キャットタワー』。単品では必要月販が約350〜360個のため、サイズ・色展開と楽天・Yahoo!併売で到達させる設計。</t>
        </is>
      </c>
    </row>
    <row r="6" ht="45" customHeight="1">
      <c r="B6" s="3" t="inlineStr">
        <is>
          <t>3. 前回上位10のうち、タイヤラック（実勢¥5,720〜6,980）・45Lごみ箱ラック・梱包作業台は実勢価格か大型送料で不成立。猫トイレ収納・リネンカート・ポッティングベンチ・ステンレスワゴンは利益率10〜15%の『条件付き』（天瞳の送料・実見積しだい）。</t>
        </is>
      </c>
    </row>
    <row r="7" ht="30" customHeight="1">
      <c r="B7" s="3" t="inlineStr">
        <is>
          <t>4. 大型品の損益は国内送料と立米単価で大きく変わる。天瞳の送料資料の数値を『前提条件』に入れると全表が再計算され、『15%達成の国内送料上限』で合否がすぐ分かる。</t>
        </is>
      </c>
    </row>
    <row r="8" ht="15" customHeight="1">
      <c r="B8" s="2" t="inlineStr">
        <is>
          <t>データについて</t>
        </is>
      </c>
    </row>
    <row r="9" ht="45" customHeight="1">
      <c r="B9" s="3" t="inlineStr">
        <is>
          <t>・Amazon.co.jp／1688.com の商品ページは、この作業環境のネットワーク制限で直接開けなかった。競合の価格・仕様・口コミは検索結果で確認できた範囲（出典付き）、1688単価・梱包寸法・月販は推定（黄色セル＝要上書き）。</t>
        </is>
      </c>
    </row>
    <row r="10" ht="30" customHeight="1">
      <c r="B10" s="3" t="inlineStr">
        <is>
          <t>・添付のリサーチ表テンプレート・商品リスト・送料資料は本環境から参照できなかったため、列構成は一般的な中国輸入OEMリサーチ表に合わせた。</t>
        </is>
      </c>
    </row>
    <row r="12">
      <c r="B12" s="4" t="inlineStr">
        <is>
          <t>利益率15%以上の厳選8商品（リサーチ表から自動参照）</t>
        </is>
      </c>
    </row>
    <row r="13" ht="30" customHeight="1">
      <c r="B13" s="5" t="inlineStr">
        <is>
          <t>商品名</t>
        </is>
      </c>
      <c r="C13" s="5" t="inlineStr">
        <is>
          <t>販売価格</t>
        </is>
      </c>
      <c r="D13" s="5" t="inlineStr">
        <is>
          <t>利益/個</t>
        </is>
      </c>
      <c r="E13" s="5" t="inlineStr">
        <is>
          <t>利益率</t>
        </is>
      </c>
      <c r="F13" s="5" t="inlineStr">
        <is>
          <t>月利（想定月販）</t>
        </is>
      </c>
      <c r="G13" s="5" t="inlineStr">
        <is>
          <t>想定月販</t>
        </is>
      </c>
      <c r="H13" s="5" t="inlineStr">
        <is>
          <t>月利100万に必要な月販</t>
        </is>
      </c>
      <c r="I13" s="5" t="inlineStr">
        <is>
          <t>判定</t>
        </is>
      </c>
    </row>
    <row r="14" ht="30" customHeight="1">
      <c r="B14" s="6" t="str">
        <f>'リサーチ表(15%以上)'!B5</f>
        <v>大型宅配ボックス（戸建て・組立式スチール110L）</v>
      </c>
      <c r="C14" s="7">
        <f>'リサーチ表(15%以上)'!J5</f>
        <v>19800</v>
      </c>
      <c r="D14" s="7">
        <f>'リサーチ表(15%以上)'!AJ5</f>
        <v>2764.176</v>
      </c>
      <c r="E14" s="8">
        <f>'リサーチ表(15%以上)'!AK5</f>
        <v>0.153565333333333</v>
      </c>
      <c r="F14" s="7">
        <f>'リサーチ表(15%以上)'!AP5</f>
        <v>691044</v>
      </c>
      <c r="G14" s="9">
        <f>'リサーチ表(15%以上)'!AN5</f>
        <v>250</v>
      </c>
      <c r="H14" s="9">
        <f>'リサーチ表(15%以上)'!AQ5</f>
        <v>362</v>
      </c>
      <c r="I14" s="10" t="str">
        <f>'リサーチ表(15%以上)'!AT5</f>
        <v>◎ 15%以上</v>
      </c>
    </row>
    <row r="15" ht="30" customHeight="1">
      <c r="B15" s="6" t="str">
        <f>'リサーチ表(15%以上)'!B6</f>
        <v>大型猫用キャットタワー（180cm・極太支柱・揺れ対策）</v>
      </c>
      <c r="C15" s="7">
        <f>'リサーチ表(15%以上)'!J6</f>
        <v>17980</v>
      </c>
      <c r="D15" s="7">
        <f>'リサーチ表(15%以上)'!AJ6</f>
        <v>2851.22290909091</v>
      </c>
      <c r="E15" s="8">
        <f>'リサーチ表(15%以上)'!AK6</f>
        <v>0.174435216907675</v>
      </c>
      <c r="F15" s="7">
        <f>'リサーチ表(15%以上)'!AP6</f>
        <v>427683.436363636</v>
      </c>
      <c r="G15" s="9">
        <f>'リサーチ表(15%以上)'!AN6</f>
        <v>150</v>
      </c>
      <c r="H15" s="9">
        <f>'リサーチ表(15%以上)'!AQ6</f>
        <v>351</v>
      </c>
      <c r="I15" s="10" t="str">
        <f>'リサーチ表(15%以上)'!AT6</f>
        <v>◎ 15%以上</v>
      </c>
    </row>
    <row r="16" ht="30" customHeight="1">
      <c r="B16" s="6" t="str">
        <f>'リサーチ表(15%以上)'!B7</f>
        <v>ゴルフバッグ2台収納ラック（固定ベルト・洗える泥受け）</v>
      </c>
      <c r="C16" s="7">
        <f>'リサーチ表(15%以上)'!J7</f>
        <v>12980</v>
      </c>
      <c r="D16" s="7">
        <f>'リサーチ表(15%以上)'!AJ7</f>
        <v>2913.305</v>
      </c>
      <c r="E16" s="8">
        <f>'リサーチ表(15%以上)'!AK7</f>
        <v>0.246890254237288</v>
      </c>
      <c r="F16" s="7">
        <f>'リサーチ表(15%以上)'!AP7</f>
        <v>174798.3</v>
      </c>
      <c r="G16" s="9">
        <f>'リサーチ表(15%以上)'!AN7</f>
        <v>60</v>
      </c>
      <c r="H16" s="9">
        <f>'リサーチ表(15%以上)'!AQ7</f>
        <v>344</v>
      </c>
      <c r="I16" s="10" t="str">
        <f>'リサーチ表(15%以上)'!AT7</f>
        <v>◎ 15%以上</v>
      </c>
    </row>
    <row r="17" ht="30" customHeight="1">
      <c r="B17" s="6" t="str">
        <f>'リサーチ表(15%以上)'!B8</f>
        <v>自転車2台スタンド（自立式・室内縦置き）</v>
      </c>
      <c r="C17" s="7">
        <f>'リサーチ表(15%以上)'!J8</f>
        <v>9980</v>
      </c>
      <c r="D17" s="7">
        <f>'リサーチ表(15%以上)'!AJ8</f>
        <v>1728.42545454545</v>
      </c>
      <c r="E17" s="8">
        <f>'リサーチ表(15%以上)'!AK8</f>
        <v>0.190507815631262</v>
      </c>
      <c r="F17" s="7">
        <f>'リサーチ表(15%以上)'!AP8</f>
        <v>172842.545454545</v>
      </c>
      <c r="G17" s="9">
        <f>'リサーチ表(15%以上)'!AN8</f>
        <v>100</v>
      </c>
      <c r="H17" s="9">
        <f>'リサーチ表(15%以上)'!AQ8</f>
        <v>579</v>
      </c>
      <c r="I17" s="10" t="str">
        <f>'リサーチ表(15%以上)'!AT8</f>
        <v>◎ 15%以上</v>
      </c>
    </row>
    <row r="18" ht="30" customHeight="1">
      <c r="B18" s="6" t="str">
        <f>'リサーチ表(15%以上)'!B9</f>
        <v>A3複合機対応プリンターワゴン（横揺れ防止・大径キャスター）</v>
      </c>
      <c r="C18" s="7">
        <f>'リサーチ表(15%以上)'!J9</f>
        <v>10980</v>
      </c>
      <c r="D18" s="7">
        <f>'リサーチ表(15%以上)'!AJ9</f>
        <v>1925.48363636363</v>
      </c>
      <c r="E18" s="8">
        <f>'リサーチ表(15%以上)'!AK9</f>
        <v>0.192899089253187</v>
      </c>
      <c r="F18" s="7">
        <f>'リサーチ表(15%以上)'!AP9</f>
        <v>115529.018181818</v>
      </c>
      <c r="G18" s="9">
        <f>'リサーチ表(15%以上)'!AN9</f>
        <v>60</v>
      </c>
      <c r="H18" s="9">
        <f>'リサーチ表(15%以上)'!AQ9</f>
        <v>520</v>
      </c>
      <c r="I18" s="10" t="str">
        <f>'リサーチ表(15%以上)'!AT9</f>
        <v>◎ 15%以上</v>
      </c>
    </row>
    <row r="19" ht="30" customHeight="1">
      <c r="B19" s="6" t="str">
        <f>'リサーチ表(15%以上)'!B10</f>
        <v>洗濯機上ランドリーラック（蛇口・防水パン干渉ゼロ設計）</v>
      </c>
      <c r="C19" s="7">
        <f>'リサーチ表(15%以上)'!J10</f>
        <v>7980</v>
      </c>
      <c r="D19" s="7">
        <f>'リサーチ表(15%以上)'!AJ10</f>
        <v>1439.53909090909</v>
      </c>
      <c r="E19" s="8">
        <f>'リサーチ表(15%以上)'!AK10</f>
        <v>0.198432706766917</v>
      </c>
      <c r="F19" s="7">
        <f>'リサーチ表(15%以上)'!AP10</f>
        <v>287907.818181818</v>
      </c>
      <c r="G19" s="9">
        <f>'リサーチ表(15%以上)'!AN10</f>
        <v>200</v>
      </c>
      <c r="H19" s="9">
        <f>'リサーチ表(15%以上)'!AQ10</f>
        <v>695</v>
      </c>
      <c r="I19" s="10" t="str">
        <f>'リサーチ表(15%以上)'!AT10</f>
        <v>◎ 15%以上</v>
      </c>
    </row>
    <row r="20" ht="30" customHeight="1">
      <c r="B20" s="6" t="str">
        <f>'リサーチ表(15%以上)'!B11</f>
        <v>ボール収納ワゴン（学校・クラブ向け・キャスター付き）</v>
      </c>
      <c r="C20" s="7">
        <f>'リサーチ表(15%以上)'!J11</f>
        <v>9980</v>
      </c>
      <c r="D20" s="7">
        <f>'リサーチ表(15%以上)'!AJ11</f>
        <v>1660.92545454545</v>
      </c>
      <c r="E20" s="8">
        <f>'リサーチ表(15%以上)'!AK11</f>
        <v>0.183067935871743</v>
      </c>
      <c r="F20" s="7">
        <f>'リサーチ表(15%以上)'!AP11</f>
        <v>66437.0181818181</v>
      </c>
      <c r="G20" s="9">
        <f>'リサーチ表(15%以上)'!AN11</f>
        <v>40</v>
      </c>
      <c r="H20" s="9">
        <f>'リサーチ表(15%以上)'!AQ11</f>
        <v>603</v>
      </c>
      <c r="I20" s="10" t="str">
        <f>'リサーチ表(15%以上)'!AT11</f>
        <v>◎ 15%以上</v>
      </c>
    </row>
    <row r="21" ht="30" customHeight="1">
      <c r="B21" s="6" t="str">
        <f>'リサーチ表(15%以上)'!B12</f>
        <v>サロン収納ワゴン（髪が絡まないキャスター・ドライヤーホルダー）</v>
      </c>
      <c r="C21" s="7">
        <f>'リサーチ表(15%以上)'!J12</f>
        <v>7980</v>
      </c>
      <c r="D21" s="7">
        <f>'リサーチ表(15%以上)'!AJ12</f>
        <v>1310.78909090909</v>
      </c>
      <c r="E21" s="8">
        <f>'リサーチ表(15%以上)'!AK12</f>
        <v>0.180685213032581</v>
      </c>
      <c r="F21" s="7">
        <f>'リサーチ表(15%以上)'!AP12</f>
        <v>78647.3454545454</v>
      </c>
      <c r="G21" s="9">
        <f>'リサーチ表(15%以上)'!AN12</f>
        <v>60</v>
      </c>
      <c r="H21" s="9">
        <f>'リサーチ表(15%以上)'!AQ12</f>
        <v>763</v>
      </c>
      <c r="I21" s="10" t="str">
        <f>'リサーチ表(15%以上)'!AT12</f>
        <v>◎ 15%以上</v>
      </c>
    </row>
    <row r="23">
      <c r="B23" s="4" t="inlineStr">
        <is>
          <t>次にやること</t>
        </is>
      </c>
    </row>
    <row r="24" ht="15" customHeight="1">
      <c r="B24" s="3" t="inlineStr">
        <is>
          <t>① 天瞳の送料資料（立米単価・サイズ別の国内送料・保管料・出荷作業料）を『前提条件』の黄色セルに入力 → 判定を確定</t>
        </is>
      </c>
    </row>
    <row r="25" ht="30" customHeight="1">
      <c r="B25" s="3" t="inlineStr">
        <is>
          <t>② 上位2商品（宅配ボックス・キャットタワー）の1688見積を各3社（単価・MOQ・梱包寸法・重量・耐荷重試験）→ 黄色セルを上書き</t>
        </is>
      </c>
    </row>
    <row r="26" ht="15" customHeight="1">
      <c r="B26" s="3" t="inlineStr">
        <is>
          <t>③ Keepa／セラースプライトで競合上位3品の月販・価格推移を確認 → 想定月販を更新</t>
        </is>
      </c>
    </row>
    <row r="27" ht="15" customHeight="1">
      <c r="B27" s="3" t="inlineStr">
        <is>
          <t>④ Amazonの星1〜3レビューを精読し、『レビュー分析』の要確認行を埋める → 付加価値の仕様書へ</t>
        </is>
      </c>
    </row>
    <row r="28" ht="15" customHeight="1">
      <c r="B28" s="3" t="inlineStr">
        <is>
          <t>⑤ △条件付き（猫トイレ収納・ステンレスワゴン・屋外ごみ保管ボックス等）を天瞳の送料で再判定</t>
        </is>
      </c>
    </row>
    <row r="30">
      <c r="B30" s="11" t="inlineStr">
        <is>
          <t>凡例：青字・黄色＝入力（推定含む）／黒字＝計算式／緑字＝他シート参照／黄色（濃）＝天瞳資料で必ず差し替える前提</t>
        </is>
      </c>
    </row>
  </sheetData>
  <mergeCells count="13">
    <mergeCell ref="B9:I9"/>
    <mergeCell ref="B7:I7"/>
    <mergeCell ref="B25:I25"/>
    <mergeCell ref="B6:I6"/>
    <mergeCell ref="B24:I24"/>
    <mergeCell ref="B10:I10"/>
    <mergeCell ref="B28:I28"/>
    <mergeCell ref="B3:I3"/>
    <mergeCell ref="B5:I5"/>
    <mergeCell ref="B27:I27"/>
    <mergeCell ref="B8:I8"/>
    <mergeCell ref="B4:I4"/>
    <mergeCell ref="B26:I2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14" customWidth="1" min="4" max="4"/>
    <col width="9" customWidth="1" min="5" max="5"/>
    <col width="38" customWidth="1" min="6" max="6"/>
    <col width="24" customWidth="1" min="7" max="7"/>
    <col width="28" customWidth="1" min="8" max="8"/>
    <col width="16" customWidth="1" min="9" max="9"/>
    <col width="12" customWidth="1" min="10" max="10"/>
    <col width="22" customWidth="1" min="11" max="11"/>
    <col width="16" customWidth="1" min="12" max="12"/>
    <col width="11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7" customWidth="1" min="21" max="21"/>
    <col width="12" customWidth="1" min="22" max="22"/>
    <col width="10" customWidth="1" min="23" max="23"/>
    <col width="9" customWidth="1" min="24" max="24"/>
    <col width="7" customWidth="1" min="25" max="25"/>
    <col width="10" customWidth="1" min="26" max="26"/>
    <col width="10" customWidth="1" min="27" max="27"/>
    <col width="9" customWidth="1" min="28" max="28"/>
    <col width="11" customWidth="1" min="29" max="29"/>
    <col width="11" customWidth="1" min="30" max="30"/>
    <col width="10" customWidth="1" min="31" max="31"/>
    <col width="10" customWidth="1" min="32" max="32"/>
    <col width="10" customWidth="1" min="33" max="33"/>
    <col width="9" customWidth="1" min="34" max="34"/>
    <col width="9" customWidth="1" min="35" max="35"/>
    <col width="11" customWidth="1" min="36" max="36"/>
    <col width="10" customWidth="1" min="37" max="37"/>
    <col width="10" customWidth="1" min="38" max="38"/>
    <col width="10" customWidth="1" min="39" max="39"/>
    <col width="9" customWidth="1" min="40" max="40"/>
    <col width="12" customWidth="1" min="41" max="41"/>
    <col width="12" customWidth="1" min="42" max="42"/>
    <col width="11" customWidth="1" min="43" max="43"/>
    <col width="12" customWidth="1" min="44" max="44"/>
    <col width="12" customWidth="1" min="45" max="45"/>
    <col width="11" customWidth="1" min="46" max="46"/>
    <col width="48" customWidth="1" min="47" max="47"/>
    <col width="44" customWidth="1" min="48" max="48"/>
    <col width="52" customWidth="1" min="49" max="49"/>
    <col width="30" customWidth="1" min="50" max="50"/>
    <col width="26" customWidth="1" min="51" max="51"/>
    <col width="40" customWidth="1" min="52" max="52"/>
  </cols>
  <sheetData>
    <row r="1">
      <c r="A1" s="1" t="inlineStr">
        <is>
          <t>大型OEM リサーチ表（神田式）― 利益率15%以上に厳選　作成日：2026-09-24</t>
        </is>
      </c>
    </row>
    <row r="2">
      <c r="A2" s="11" t="inlineStr">
        <is>
          <t>青字・黄色セル＝入力（推定値を含む）／黒字＝計算式／緑字＝他シート参照。利益率＝利益÷税抜売上。利益は広告費・返品引当・保管料・出荷作業料まで控除後（固定費は別）。データ確度 A=商品ページで確認／B=検索結果経由で確認／C=推定（要実測）。1688単価・梱包寸法・月販はC（推定）です。</t>
        </is>
      </c>
    </row>
    <row r="3">
      <c r="A3" s="12" t="inlineStr">
        <is>
          <t>基本情報・競合（Amazon等）</t>
        </is>
      </c>
      <c r="J3" s="12" t="inlineStr">
        <is>
          <t>売価</t>
        </is>
      </c>
      <c r="K3" s="12" t="inlineStr">
        <is>
          <t>仕入（1688）・梱包・物流</t>
        </is>
      </c>
      <c r="Z3" s="12" t="inlineStr">
        <is>
          <t>着地原価（1個）</t>
        </is>
      </c>
      <c r="AD3" s="12" t="inlineStr">
        <is>
          <t>損益（1個あたり・税抜）</t>
        </is>
      </c>
      <c r="AN3" s="12" t="inlineStr">
        <is>
          <t>月間シミュレーション</t>
        </is>
      </c>
      <c r="AR3" s="12" t="inlineStr">
        <is>
          <t>感応度・判定</t>
        </is>
      </c>
      <c r="AU3" s="12" t="inlineStr">
        <is>
          <t>差別化・レビュー分析</t>
        </is>
      </c>
    </row>
    <row r="4" ht="42" customHeight="1">
      <c r="A4" s="5" t="inlineStr">
        <is>
          <t>優先順位</t>
        </is>
      </c>
      <c r="B4" s="5" t="inlineStr">
        <is>
          <t>商品名（OEM企画）</t>
        </is>
      </c>
      <c r="C4" s="5" t="inlineStr">
        <is>
          <t>コンセプト（狙い）</t>
        </is>
      </c>
      <c r="D4" s="5" t="inlineStr">
        <is>
          <t>Amazonカテゴリ</t>
        </is>
      </c>
      <c r="E4" s="5" t="inlineStr">
        <is>
          <t>販売手数料率</t>
        </is>
      </c>
      <c r="F4" s="5" t="inlineStr">
        <is>
          <t>主要競合（商品・スペック）</t>
        </is>
      </c>
      <c r="G4" s="5" t="inlineStr">
        <is>
          <t>競合URL</t>
        </is>
      </c>
      <c r="H4" s="5" t="inlineStr">
        <is>
          <t>競合価格・根拠</t>
        </is>
      </c>
      <c r="I4" s="5" t="inlineStr">
        <is>
          <t>Amazon検索リンク</t>
        </is>
      </c>
      <c r="J4" s="5" t="inlineStr">
        <is>
          <t>想定販売価格（税込・円）</t>
        </is>
      </c>
      <c r="K4" s="5" t="inlineStr">
        <is>
          <t>1688検索キーワード（中国語）</t>
        </is>
      </c>
      <c r="L4" s="5" t="inlineStr">
        <is>
          <t>1688検索リンク</t>
        </is>
      </c>
      <c r="M4" s="5" t="inlineStr">
        <is>
          <t>想定仕入単価（元）※推定</t>
        </is>
      </c>
      <c r="N4" s="5" t="inlineStr">
        <is>
          <t>付加価値の追加コスト（円）</t>
        </is>
      </c>
      <c r="O4" s="5" t="inlineStr">
        <is>
          <t>梱包 縦(cm)</t>
        </is>
      </c>
      <c r="P4" s="5" t="inlineStr">
        <is>
          <t>梱包 横(cm)</t>
        </is>
      </c>
      <c r="Q4" s="5" t="inlineStr">
        <is>
          <t>梱包 高さ(cm)</t>
        </is>
      </c>
      <c r="R4" s="5" t="inlineStr">
        <is>
          <t>梱包重量(kg)</t>
        </is>
      </c>
      <c r="S4" s="5" t="inlineStr">
        <is>
          <t>3辺合計(cm)</t>
        </is>
      </c>
      <c r="T4" s="5" t="inlineStr">
        <is>
          <t>容積(m³)</t>
        </is>
      </c>
      <c r="U4" s="5" t="inlineStr">
        <is>
          <t>配送区分No</t>
        </is>
      </c>
      <c r="V4" s="5" t="inlineStr">
        <is>
          <t>国内配送サイズ</t>
        </is>
      </c>
      <c r="W4" s="5" t="inlineStr">
        <is>
          <t>国内送料（円）</t>
        </is>
      </c>
      <c r="X4" s="5" t="inlineStr">
        <is>
          <t>FBA区分（参考）</t>
        </is>
      </c>
      <c r="Y4" s="5" t="inlineStr">
        <is>
          <t>関税率</t>
        </is>
      </c>
      <c r="Z4" s="5" t="inlineStr">
        <is>
          <t>仕入原価（円）</t>
        </is>
      </c>
      <c r="AA4" s="5" t="inlineStr">
        <is>
          <t>国際送料（円）</t>
        </is>
      </c>
      <c r="AB4" s="5" t="inlineStr">
        <is>
          <t>関税（円）</t>
        </is>
      </c>
      <c r="AC4" s="5" t="inlineStr">
        <is>
          <t>着地原価（円）</t>
        </is>
      </c>
      <c r="AD4" s="5" t="inlineStr">
        <is>
          <t>税抜売上（円）</t>
        </is>
      </c>
      <c r="AE4" s="5" t="inlineStr">
        <is>
          <t>販売手数料（円）</t>
        </is>
      </c>
      <c r="AF4" s="5" t="inlineStr">
        <is>
          <t>広告費（円）</t>
        </is>
      </c>
      <c r="AG4" s="5" t="inlineStr">
        <is>
          <t>返品・破損引当（円）</t>
        </is>
      </c>
      <c r="AH4" s="5" t="inlineStr">
        <is>
          <t>保管料（円）</t>
        </is>
      </c>
      <c r="AI4" s="5" t="inlineStr">
        <is>
          <t>出荷作業料（円）</t>
        </is>
      </c>
      <c r="AJ4" s="5" t="inlineStr">
        <is>
          <t>利益（円/個）</t>
        </is>
      </c>
      <c r="AK4" s="5" t="inlineStr">
        <is>
          <t>利益率（税抜売上比）</t>
        </is>
      </c>
      <c r="AL4" s="5" t="inlineStr">
        <is>
          <t>広告前利益率</t>
        </is>
      </c>
      <c r="AM4" s="5" t="inlineStr">
        <is>
          <t>ROI（利益÷着地原価）</t>
        </is>
      </c>
      <c r="AN4" s="5" t="inlineStr">
        <is>
          <t>想定月販（個）※推定</t>
        </is>
      </c>
      <c r="AO4" s="5" t="inlineStr">
        <is>
          <t>月商（税込・円）</t>
        </is>
      </c>
      <c r="AP4" s="5" t="inlineStr">
        <is>
          <t>月利（円）</t>
        </is>
      </c>
      <c r="AQ4" s="5" t="inlineStr">
        <is>
          <t>月利100万に必要な月販（個）</t>
        </is>
      </c>
      <c r="AR4" s="5" t="inlineStr">
        <is>
          <t>15%達成の国内送料上限（円）</t>
        </is>
      </c>
      <c r="AS4" s="5" t="inlineStr">
        <is>
          <t>15%達成の仕入単価上限（元）</t>
        </is>
      </c>
      <c r="AT4" s="5" t="inlineStr">
        <is>
          <t>判定</t>
        </is>
      </c>
      <c r="AU4" s="5" t="inlineStr">
        <is>
          <t>付加価値（差別化）案</t>
        </is>
      </c>
      <c r="AV4" s="5" t="inlineStr">
        <is>
          <t>高評価ポイント（競合レビュー）</t>
        </is>
      </c>
      <c r="AW4" s="5" t="inlineStr">
        <is>
          <t>改善要望（優先度付き）</t>
        </is>
      </c>
      <c r="AX4" s="5" t="inlineStr">
        <is>
          <t>最優先の改善</t>
        </is>
      </c>
      <c r="AY4" s="5" t="inlineStr">
        <is>
          <t>データ確度</t>
        </is>
      </c>
      <c r="AZ4" s="5" t="inlineStr">
        <is>
          <t>次の確認事項</t>
        </is>
      </c>
    </row>
    <row r="5" ht="150" customHeight="1">
      <c r="A5" s="13" t="n">
        <v>1</v>
      </c>
      <c r="B5" s="14" t="inlineStr">
        <is>
          <t>大型宅配ボックス（戸建て・組立式スチール110L）</t>
        </is>
      </c>
      <c r="C5" s="15" t="inlineStr">
        <is>
          <t>置き配定着で需要が大きい戸建て用。組立式（ノックダウン）で梱包容積を完成品の約1/3に抑え、送料差で完成品の競合より高機能・同価格帯を実現</t>
        </is>
      </c>
      <c r="D5" s="16" t="inlineStr">
        <is>
          <t>DIY・工具・ガーデン</t>
        </is>
      </c>
      <c r="E5" s="17">
        <f>IFERROR(INDEX('前提条件'!$B$20:$B$28,MATCH(D5,'前提条件'!$A$20:$A$28,0)),'前提条件'!$B$20)</f>
        <v>0.154</v>
      </c>
      <c r="F5" s="15" t="inlineStr">
        <is>
          <t>タンスのゲン ポスト一体型 108L/134L、COVELL 140L（完成品・投函口3・IP55）、ルスネコボックス、ポスミー</t>
        </is>
      </c>
      <c r="G5" s="18" t="inlineStr">
        <is>
          <t>https://store.shopping.yahoo.co.jp/tansu/17600169.html</t>
        </is>
      </c>
      <c r="H5" s="15" t="inlineStr">
        <is>
          <t>タンスのゲン 134L 旧モデル ¥17,999（Yahoo!商品名の表記）／COVELL 140L は価格未確認</t>
        </is>
      </c>
      <c r="I5" s="18" t="inlineStr">
        <is>
          <t>Amazonで検索</t>
        </is>
      </c>
      <c r="J5" s="19" t="n">
        <v>19800</v>
      </c>
      <c r="K5" s="15" t="inlineStr">
        <is>
          <t>快递箱 户外 别墅 包裹箱 带信箱 大容量 组装</t>
        </is>
      </c>
      <c r="L5" s="18" t="inlineStr">
        <is>
          <t>1688で検索</t>
        </is>
      </c>
      <c r="M5" s="20" t="n">
        <v>200</v>
      </c>
      <c r="N5" s="19" t="n">
        <v>500</v>
      </c>
      <c r="O5" s="13" t="n">
        <v>108</v>
      </c>
      <c r="P5" s="13" t="n">
        <v>52</v>
      </c>
      <c r="Q5" s="13" t="n">
        <v>16</v>
      </c>
      <c r="R5" s="21" t="n">
        <v>20</v>
      </c>
      <c r="S5" s="22">
        <f>O5+P5+Q5</f>
        <v>176</v>
      </c>
      <c r="T5" s="23">
        <f>O5*P5*Q5/1000000</f>
        <v>0.089856</v>
      </c>
      <c r="U5" s="22">
        <f>MAX(MATCH(S5,'前提条件'!$C$34:$C$46,1),INDEX('前提条件'!$J$34:$J$41,MATCH(R5,'前提条件'!$H$34:$H$41,1)))</f>
        <v>8</v>
      </c>
      <c r="V5" s="15" t="str">
        <f>INDEX('前提条件'!$B$34:$B$46,U5)</f>
        <v>180サイズ</v>
      </c>
      <c r="W5" s="24">
        <f>INDEX('前提条件'!$E$34:$E$46,U5)*'前提条件'!$B$7</f>
        <v>2200</v>
      </c>
      <c r="X5" s="15" t="str">
        <f>IF(AND(S5&lt;=200,R5&lt;=40),"大型以内",IF(AND(S5&lt;=260,R5&lt;=50),"特大型","FBA不可"))</f>
        <v>大型以内</v>
      </c>
      <c r="Y5" s="25" t="n">
        <v>0</v>
      </c>
      <c r="Z5" s="24">
        <f>M5*'前提条件'!$B$4*(1+'前提条件'!$B$5)</f>
        <v>5184</v>
      </c>
      <c r="AA5" s="24">
        <f>T5*'前提条件'!$B$6</f>
        <v>1078.272</v>
      </c>
      <c r="AB5" s="24">
        <f>(Z5+AA5)*Y5</f>
        <v>0</v>
      </c>
      <c r="AC5" s="24">
        <f>Z5+N5+AA5+AB5</f>
        <v>6762.272</v>
      </c>
      <c r="AD5" s="24">
        <f>J5/(1+'前提条件'!$B$13)</f>
        <v>18000</v>
      </c>
      <c r="AE5" s="24">
        <f>J5*E5</f>
        <v>3049.2</v>
      </c>
      <c r="AF5" s="24">
        <f>AD5*'前提条件'!$B$8</f>
        <v>1800</v>
      </c>
      <c r="AG5" s="24">
        <f>AD5*'前提条件'!$B$9</f>
        <v>720</v>
      </c>
      <c r="AH5" s="24">
        <f>T5*'前提条件'!$B$10*'前提条件'!$B$11</f>
        <v>404.352</v>
      </c>
      <c r="AI5" s="24">
        <f>'前提条件'!$B$12</f>
        <v>300</v>
      </c>
      <c r="AJ5" s="24">
        <f>AD5-AE5-W5-AF5-AG5-AH5-AI5-AC5</f>
        <v>2764.176</v>
      </c>
      <c r="AK5" s="17">
        <f>IF(AD5&gt;0,AJ5/AD5,0)</f>
        <v>0.153565333333333</v>
      </c>
      <c r="AL5" s="17">
        <f>IF(AD5&gt;0,(AJ5+AF5)/AD5,0)</f>
        <v>0.253565333333333</v>
      </c>
      <c r="AM5" s="17">
        <f>IF(AC5&gt;0,AJ5/AC5,0)</f>
        <v>0.40876439161276</v>
      </c>
      <c r="AN5" s="13" t="n">
        <v>250</v>
      </c>
      <c r="AO5" s="24">
        <f>J5*AN5</f>
        <v>4950000</v>
      </c>
      <c r="AP5" s="24">
        <f>AJ5*AN5</f>
        <v>691044</v>
      </c>
      <c r="AQ5" s="22">
        <f>IF(AJ5&gt;0,ROUNDUP('前提条件'!$B$15/AJ5,0),"赤字")</f>
        <v>362</v>
      </c>
      <c r="AR5" s="24">
        <f>W5+(AJ5-'前提条件'!$B$14*AD5)</f>
        <v>2264.176</v>
      </c>
      <c r="AS5" s="26">
        <f>M5+(AJ5-'前提条件'!$B$14*AD5)/('前提条件'!$B$4*(1+'前提条件'!$B$5)*(1+Y5))</f>
        <v>202.475925925926</v>
      </c>
      <c r="AT5" s="15" t="str">
        <f>IF(AK5&gt;='前提条件'!$B$14,"◎ 15%以上",IF(AK5&gt;='前提条件'!$B$16,"△ 条件付き","× 除外"))</f>
        <v>◎ 15%以上</v>
      </c>
      <c r="AU5" s="15" t="inlineStr">
        <is>
          <t>①組立式で梱包容積を完成品の約1/3（180サイズ）②アンカーボルト＋盗難防止ワイヤーの固定キット同梱③オートリセット式ダイヤル錠＋予備鍵④投函口3か所・複数投函・ダンパー付き上蓋⑤防水パッキン＋排水穴（IP55相当を目標）⑥印鑑ホルダー・反射ステッカー</t>
        </is>
      </c>
      <c r="AV5" s="15" t="inlineStr">
        <is>
          <t>大容量で複数の荷物が届いても余裕／防水で天候を気にせず使える／組立不要・両開き扉で出し入れが楽／印鑑ホルダーで非対面受取／ベンチ兼用型も高評価</t>
        </is>
      </c>
      <c r="AW5" s="15" t="inlineStr">
        <is>
          <t>【高】軽い本体ごと盗まれる→アンカー固定が必須／【高】南京錠は破られやすい・ダイヤル番号が推測される→オートリセット錠／【高】傷から錆、鍵部の錆・電子錠の故障／【中】設置スペース・固定工事の手間／【低】届く箱が重い</t>
        </is>
      </c>
      <c r="AX5" s="15" t="inlineStr">
        <is>
          <t>【高】盗難対策（固定キット同梱）と防錆（厚膜粉体塗装・ステンレス蝶番）</t>
        </is>
      </c>
      <c r="AY5" s="15" t="inlineStr">
        <is>
          <t>競合・レビュー=B／原価・寸法・月販=C</t>
        </is>
      </c>
      <c r="AZ5" s="15" t="inlineStr">
        <is>
          <t>1688で「组装式 快递箱」3社見積（板厚0.8mm以上・粉体塗装・投函口ダンパー）／防水試験の有無／上位3品の月販をセラースプライト・Keepaで確認</t>
        </is>
      </c>
    </row>
    <row r="6" ht="150" customHeight="1">
      <c r="A6" s="13" t="n">
        <v>2</v>
      </c>
      <c r="B6" s="14" t="inlineStr">
        <is>
          <t>大型猫用キャットタワー（180cm・極太支柱・揺れ対策）</t>
        </is>
      </c>
      <c r="C6" s="15" t="inlineStr">
        <is>
          <t>メインクーン等6kg超の大型猫・多頭飼い特化。極太支柱×重量ベース×転倒防止キットで「揺れない」を訴求し、単価¥17,980帯を狙う</t>
        </is>
      </c>
      <c r="D6" s="16" t="inlineStr">
        <is>
          <t>ペット用品</t>
        </is>
      </c>
      <c r="E6" s="17">
        <f>IFERROR(INDEX('前提条件'!$B$20:$B$28,MATCH(D6,'前提条件'!$A$20:$A$28,0)),'前提条件'!$B$20)</f>
        <v>0.154</v>
      </c>
      <c r="F6" s="15" t="inlineStr">
        <is>
          <t>PETEPELA スリム175cm（評価1,544件＝カテゴリ平均868件の178%）、FEANDREA 大型猫用（耐荷重90kg）、RAKU 木製183.5cm、Mwpo 057A、Heybly 180cm</t>
        </is>
      </c>
      <c r="G6" s="18" t="inlineStr">
        <is>
          <t>https://sakura-checker.jp/search/B099RYLG3S/</t>
        </is>
      </c>
      <c r="H6" s="15" t="inlineStr">
        <is>
          <t>180cm帯は¥11,980前後の例（楽天検索結果）。大型猫向け上位品の価格は未確認</t>
        </is>
      </c>
      <c r="I6" s="18" t="inlineStr">
        <is>
          <t>Amazonで検索</t>
        </is>
      </c>
      <c r="J6" s="19" t="n">
        <v>17980</v>
      </c>
      <c r="K6" s="15" t="inlineStr">
        <is>
          <t>猫爬架 大型 缅因猫 粗柱 落地 180</t>
        </is>
      </c>
      <c r="L6" s="18" t="inlineStr">
        <is>
          <t>1688で検索</t>
        </is>
      </c>
      <c r="M6" s="20" t="n">
        <v>170</v>
      </c>
      <c r="N6" s="19" t="n">
        <v>500</v>
      </c>
      <c r="O6" s="13" t="n">
        <v>82</v>
      </c>
      <c r="P6" s="13" t="n">
        <v>47</v>
      </c>
      <c r="Q6" s="13" t="n">
        <v>28</v>
      </c>
      <c r="R6" s="21" t="n">
        <v>24</v>
      </c>
      <c r="S6" s="22">
        <f>O6+P6+Q6</f>
        <v>157</v>
      </c>
      <c r="T6" s="23">
        <f>O6*P6*Q6/1000000</f>
        <v>0.107912</v>
      </c>
      <c r="U6" s="22">
        <f>MAX(MATCH(S6,'前提条件'!$C$34:$C$46,1),INDEX('前提条件'!$J$34:$J$41,MATCH(R6,'前提条件'!$H$34:$H$41,1)))</f>
        <v>6</v>
      </c>
      <c r="V6" s="15" t="str">
        <f>INDEX('前提条件'!$B$34:$B$46,U6)</f>
        <v>160サイズ</v>
      </c>
      <c r="W6" s="24">
        <f>INDEX('前提条件'!$E$34:$E$46,U6)*'前提条件'!$B$7</f>
        <v>1450</v>
      </c>
      <c r="X6" s="15" t="str">
        <f>IF(AND(S6&lt;=200,R6&lt;=40),"大型以内",IF(AND(S6&lt;=260,R6&lt;=50),"特大型","FBA不可"))</f>
        <v>大型以内</v>
      </c>
      <c r="Y6" s="25" t="n">
        <v>0</v>
      </c>
      <c r="Z6" s="24">
        <f>M6*'前提条件'!$B$4*(1+'前提条件'!$B$5)</f>
        <v>4406.4</v>
      </c>
      <c r="AA6" s="24">
        <f>T6*'前提条件'!$B$6</f>
        <v>1294.944</v>
      </c>
      <c r="AB6" s="24">
        <f>(Z6+AA6)*Y6</f>
        <v>0</v>
      </c>
      <c r="AC6" s="24">
        <f>Z6+N6+AA6+AB6</f>
        <v>6201.344</v>
      </c>
      <c r="AD6" s="24">
        <f>J6/(1+'前提条件'!$B$13)</f>
        <v>16345.4545454545</v>
      </c>
      <c r="AE6" s="24">
        <f>J6*E6</f>
        <v>2768.92</v>
      </c>
      <c r="AF6" s="24">
        <f>AD6*'前提条件'!$B$8</f>
        <v>1634.54545454545</v>
      </c>
      <c r="AG6" s="24">
        <f>AD6*'前提条件'!$B$9</f>
        <v>653.818181818182</v>
      </c>
      <c r="AH6" s="24">
        <f>T6*'前提条件'!$B$10*'前提条件'!$B$11</f>
        <v>485.604</v>
      </c>
      <c r="AI6" s="24">
        <f>'前提条件'!$B$12</f>
        <v>300</v>
      </c>
      <c r="AJ6" s="24">
        <f>AD6-AE6-W6-AF6-AG6-AH6-AI6-AC6</f>
        <v>2851.22290909091</v>
      </c>
      <c r="AK6" s="17">
        <f>IF(AD6&gt;0,AJ6/AD6,0)</f>
        <v>0.174435216907675</v>
      </c>
      <c r="AL6" s="17">
        <f>IF(AD6&gt;0,(AJ6+AF6)/AD6,0)</f>
        <v>0.274435216907675</v>
      </c>
      <c r="AM6" s="17">
        <f>IF(AC6&gt;0,AJ6/AC6,0)</f>
        <v>0.459774995402756</v>
      </c>
      <c r="AN6" s="13" t="n">
        <v>150</v>
      </c>
      <c r="AO6" s="24">
        <f>J6*AN6</f>
        <v>2697000</v>
      </c>
      <c r="AP6" s="24">
        <f>AJ6*AN6</f>
        <v>427683.436363636</v>
      </c>
      <c r="AQ6" s="22">
        <f>IF(AJ6&gt;0,ROUNDUP('前提条件'!$B$15/AJ6,0),"赤字")</f>
        <v>351</v>
      </c>
      <c r="AR6" s="24">
        <f>W6+(AJ6-'前提条件'!$B$14*AD6)</f>
        <v>1849.40472727273</v>
      </c>
      <c r="AS6" s="26">
        <f>M6+(AJ6-'前提条件'!$B$14*AD6)/('前提条件'!$B$4*(1+'前提条件'!$B$5)*(1+Y6))</f>
        <v>185.409132996633</v>
      </c>
      <c r="AT6" s="15" t="str">
        <f>IF(AK6&gt;='前提条件'!$B$14,"◎ 15%以上",IF(AK6&gt;='前提条件'!$B$16,"△ 条件付き","× 除外"))</f>
        <v>◎ 15%以上</v>
      </c>
      <c r="AU6" s="15" t="inlineStr">
        <is>
          <t>①支柱Φ12cm以上・ベース70×50cmの重量級で揺れを抑える②転倒防止ベルト・壁固定金具を同梱③交換用麻スリーブ・パーツを単品販売（リピート収益）④クッション・ハンモックは外して洗える⑤各段の耐荷重表示と増し締めガイド⑥梱包を160サイズ内に設計</t>
        </is>
      </c>
      <c r="AV6" s="15" t="inlineStr">
        <is>
          <t>重く安定し6kgの大型猫2匹が暴れても揺れない製品が高評価／転倒防止帯付き／ベッド・ハンモックが外して洗える／太い爪とぎポールが多い／登りやすいステップ配置</t>
        </is>
      </c>
      <c r="AW6" s="15" t="inlineStr">
        <is>
          <t>【高】据え置きは揺れる（重りを置く・壁に寄せる等で自衛している）／【高】ネジが緩む→定期的な増し締めが必要／【中】麻がボロボロになるが交換できない／【中】届く箱が非常に重い／【中】ハンモック布の破れ</t>
        </is>
      </c>
      <c r="AX6" s="15" t="inlineStr">
        <is>
          <t>【高】揺れ・転倒対策（極太支柱＋重量ベース＋固定キット）</t>
        </is>
      </c>
      <c r="AY6" s="15" t="inlineStr">
        <is>
          <t>競合・レビュー=B／原価・月販=C（仕入¥185元超または売価¥16,980以下だと15%割れ）</t>
        </is>
      </c>
      <c r="AZ6" s="15" t="inlineStr">
        <is>
          <t>1688で缅因猫向け粗柱モデル3社見積＋耐荷重試験動画の提出依頼／180cm帯上位10品の価格・月販を確認</t>
        </is>
      </c>
    </row>
    <row r="7" ht="150" customHeight="1">
      <c r="A7" s="13" t="n">
        <v>3</v>
      </c>
      <c r="B7" s="14" t="inlineStr">
        <is>
          <t>ゴルフバッグ2台収納ラック（固定ベルト・洗える泥受け）</t>
        </is>
      </c>
      <c r="C7" s="15" t="inlineStr">
        <is>
          <t>玄関・ガレージでキャディバッグ2本＋シューズ＋小物を一括収納。『倒れない・床が汚れない』で既存品と差別化</t>
        </is>
      </c>
      <c r="D7" s="16" t="inlineStr">
        <is>
          <t>スポーツ&amp;アウトドア</t>
        </is>
      </c>
      <c r="E7" s="17">
        <f>IFERROR(INDEX('前提条件'!$B$20:$B$28,MATCH(D7,'前提条件'!$A$20:$A$28,0)),'前提条件'!$B$20)</f>
        <v>0.104</v>
      </c>
      <c r="F7" s="15" t="inlineStr">
        <is>
          <t>Bonarca（幅63cm・2バッグ・棚・S字フック・転倒防止）B09TKTDXRQ、Bornran 2本用（キャスター・4段棚・136kg）、VKEID B0CD7MBTD3、MOBAAK B0DG62RPT1</t>
        </is>
      </c>
      <c r="G7" s="18" t="inlineStr">
        <is>
          <t>https://www.amazon.co.jp/dp/B09TKTDXRQ</t>
        </is>
      </c>
      <c r="H7" s="15" t="inlineStr">
        <is>
          <t>Bonarca ¥10,900（検索結果の表示価格）</t>
        </is>
      </c>
      <c r="I7" s="18" t="inlineStr">
        <is>
          <t>Amazonで検索</t>
        </is>
      </c>
      <c r="J7" s="19" t="n">
        <v>12980</v>
      </c>
      <c r="K7" s="15" t="inlineStr">
        <is>
          <t>高尔夫球包收纳架 双包 车库 置物架 带轮</t>
        </is>
      </c>
      <c r="L7" s="18" t="inlineStr">
        <is>
          <t>1688で検索</t>
        </is>
      </c>
      <c r="M7" s="20" t="n">
        <v>110</v>
      </c>
      <c r="N7" s="19" t="n">
        <v>400</v>
      </c>
      <c r="O7" s="13" t="n">
        <v>85</v>
      </c>
      <c r="P7" s="13" t="n">
        <v>42</v>
      </c>
      <c r="Q7" s="13" t="n">
        <v>15</v>
      </c>
      <c r="R7" s="21" t="n">
        <v>14</v>
      </c>
      <c r="S7" s="22">
        <f>O7+P7+Q7</f>
        <v>142</v>
      </c>
      <c r="T7" s="23">
        <f>O7*P7*Q7/1000000</f>
        <v>0.05355</v>
      </c>
      <c r="U7" s="22">
        <f>MAX(MATCH(S7,'前提条件'!$C$34:$C$46,1),INDEX('前提条件'!$J$34:$J$41,MATCH(R7,'前提条件'!$H$34:$H$41,1)))</f>
        <v>6</v>
      </c>
      <c r="V7" s="15" t="str">
        <f>INDEX('前提条件'!$B$34:$B$46,U7)</f>
        <v>160サイズ</v>
      </c>
      <c r="W7" s="24">
        <f>INDEX('前提条件'!$E$34:$E$46,U7)*'前提条件'!$B$7</f>
        <v>1450</v>
      </c>
      <c r="X7" s="15" t="str">
        <f>IF(AND(S7&lt;=200,R7&lt;=40),"大型以内",IF(AND(S7&lt;=260,R7&lt;=50),"特大型","FBA不可"))</f>
        <v>大型以内</v>
      </c>
      <c r="Y7" s="25" t="n">
        <v>0</v>
      </c>
      <c r="Z7" s="24">
        <f>M7*'前提条件'!$B$4*(1+'前提条件'!$B$5)</f>
        <v>2851.2</v>
      </c>
      <c r="AA7" s="24">
        <f>T7*'前提条件'!$B$6</f>
        <v>642.6</v>
      </c>
      <c r="AB7" s="24">
        <f>(Z7+AA7)*Y7</f>
        <v>0</v>
      </c>
      <c r="AC7" s="24">
        <f>Z7+N7+AA7+AB7</f>
        <v>3893.8</v>
      </c>
      <c r="AD7" s="24">
        <f>J7/(1+'前提条件'!$B$13)</f>
        <v>11800</v>
      </c>
      <c r="AE7" s="24">
        <f>J7*E7</f>
        <v>1349.92</v>
      </c>
      <c r="AF7" s="24">
        <f>AD7*'前提条件'!$B$8</f>
        <v>1180</v>
      </c>
      <c r="AG7" s="24">
        <f>AD7*'前提条件'!$B$9</f>
        <v>472</v>
      </c>
      <c r="AH7" s="24">
        <f>T7*'前提条件'!$B$10*'前提条件'!$B$11</f>
        <v>240.975</v>
      </c>
      <c r="AI7" s="24">
        <f>'前提条件'!$B$12</f>
        <v>300</v>
      </c>
      <c r="AJ7" s="24">
        <f>AD7-AE7-W7-AF7-AG7-AH7-AI7-AC7</f>
        <v>2913.305</v>
      </c>
      <c r="AK7" s="17">
        <f>IF(AD7&gt;0,AJ7/AD7,0)</f>
        <v>0.246890254237288</v>
      </c>
      <c r="AL7" s="17">
        <f>IF(AD7&gt;0,(AJ7+AF7)/AD7,0)</f>
        <v>0.346890254237288</v>
      </c>
      <c r="AM7" s="17">
        <f>IF(AC7&gt;0,AJ7/AC7,0)</f>
        <v>0.748190713441881</v>
      </c>
      <c r="AN7" s="13" t="n">
        <v>60</v>
      </c>
      <c r="AO7" s="24">
        <f>J7*AN7</f>
        <v>778800</v>
      </c>
      <c r="AP7" s="24">
        <f>AJ7*AN7</f>
        <v>174798.3</v>
      </c>
      <c r="AQ7" s="22">
        <f>IF(AJ7&gt;0,ROUNDUP('前提条件'!$B$15/AJ7,0),"赤字")</f>
        <v>344</v>
      </c>
      <c r="AR7" s="24">
        <f>W7+(AJ7-'前提条件'!$B$14*AD7)</f>
        <v>2593.305</v>
      </c>
      <c r="AS7" s="26">
        <f>M7+(AJ7-'前提条件'!$B$14*AD7)/('前提条件'!$B$4*(1+'前提条件'!$B$5)*(1+Y7))</f>
        <v>154.108989197531</v>
      </c>
      <c r="AT7" s="15" t="str">
        <f>IF(AK7&gt;='前提条件'!$B$14,"◎ 15%以上",IF(AK7&gt;='前提条件'!$B$16,"△ 条件付き","× 除外"))</f>
        <v>◎ 15%以上</v>
      </c>
      <c r="AU7" s="15" t="inlineStr">
        <is>
          <t>①バッグ固定ベルト（転倒防止）②外して洗える泥受けトレー③高さ調整式シューズ棚④ロック付きキャスター⑤ボール・手袋用の小物フック⑥壁固定金具</t>
        </is>
      </c>
      <c r="AV7" s="15" t="inlineStr">
        <is>
          <t>2本置いてもグラつかない／前後の転倒防止バーがしっかり支える／バッグ・小物までまとめて片付く</t>
        </is>
      </c>
      <c r="AW7" s="15" t="inlineStr">
        <is>
          <t>【中】製品ごとの品質のばらつきを不安視する声／【中】（一般傾向）泥・芝で床が汚れる／【中】キャスターのロック有無／【低】組立説明の分かりにくさ</t>
        </is>
      </c>
      <c r="AX7" s="15" t="inlineStr">
        <is>
          <t>【高】固定ベルト＋洗える泥受け（転倒と床汚れの解消）</t>
        </is>
      </c>
      <c r="AY7" s="15" t="inlineStr">
        <is>
          <t>競合=B（Bonarca価格は検索結果表示）／レビューはB（件数少）／原価・月販=C</t>
        </is>
      </c>
      <c r="AZ7" s="15" t="inlineStr">
        <is>
          <t>Bonarca等の星3以下レビューをAmazonで直接精読／春秋の季節変動を確認／1688で车库用双包ラック見積</t>
        </is>
      </c>
    </row>
    <row r="8" ht="150" customHeight="1">
      <c r="A8" s="13" t="n">
        <v>4</v>
      </c>
      <c r="B8" s="14" t="inlineStr">
        <is>
          <t>自転車2台スタンド（自立式・室内縦置き）</t>
        </is>
      </c>
      <c r="C8" s="15" t="inlineStr">
        <is>
          <t>ロード・クロス・子供車2台を室内に縦置き。天井に依存しない自立式＋フック無段階調整＋小物棚で、国産（¥19,900）の半額帯を狙う</t>
        </is>
      </c>
      <c r="D8" s="16" t="inlineStr">
        <is>
          <t>スポーツ&amp;アウトドア</t>
        </is>
      </c>
      <c r="E8" s="17">
        <f>IFERROR(INDEX('前提条件'!$B$20:$B$28,MATCH(D8,'前提条件'!$A$20:$A$28,0)),'前提条件'!$B$20)</f>
        <v>0.104</v>
      </c>
      <c r="F8" s="15" t="inlineStr">
        <is>
          <t>足立製作所 2台用 棚付き 2434（¥19,900・日本製）／1530、ぼん家具 2台用、MOJYU Lex、WEIMALL 突っ張り式</t>
        </is>
      </c>
      <c r="G8" s="18" t="inlineStr">
        <is>
          <t>https://store.shopping.yahoo.co.jp/adachiseisakusyo/2434.html</t>
        </is>
      </c>
      <c r="H8" s="15" t="inlineStr">
        <is>
          <t>足立製作所 2434 ¥19,900 送料無料（検索結果）</t>
        </is>
      </c>
      <c r="I8" s="18" t="inlineStr">
        <is>
          <t>Amazonで検索</t>
        </is>
      </c>
      <c r="J8" s="19" t="n">
        <v>9980</v>
      </c>
      <c r="K8" s="15" t="inlineStr">
        <is>
          <t>自行车停车架 室内 立式 双车 挂架 落地</t>
        </is>
      </c>
      <c r="L8" s="18" t="inlineStr">
        <is>
          <t>1688で検索</t>
        </is>
      </c>
      <c r="M8" s="20" t="n">
        <v>90</v>
      </c>
      <c r="N8" s="19" t="n">
        <v>300</v>
      </c>
      <c r="O8" s="13" t="n">
        <v>110</v>
      </c>
      <c r="P8" s="13" t="n">
        <v>30</v>
      </c>
      <c r="Q8" s="13" t="n">
        <v>12</v>
      </c>
      <c r="R8" s="21" t="n">
        <v>9</v>
      </c>
      <c r="S8" s="22">
        <f>O8+P8+Q8</f>
        <v>152</v>
      </c>
      <c r="T8" s="23">
        <f>O8*P8*Q8/1000000</f>
        <v>0.0396</v>
      </c>
      <c r="U8" s="22">
        <f>MAX(MATCH(S8,'前提条件'!$C$34:$C$46,1),INDEX('前提条件'!$J$34:$J$41,MATCH(R8,'前提条件'!$H$34:$H$41,1)))</f>
        <v>6</v>
      </c>
      <c r="V8" s="15" t="str">
        <f>INDEX('前提条件'!$B$34:$B$46,U8)</f>
        <v>160サイズ</v>
      </c>
      <c r="W8" s="24">
        <f>INDEX('前提条件'!$E$34:$E$46,U8)*'前提条件'!$B$7</f>
        <v>1450</v>
      </c>
      <c r="X8" s="15" t="str">
        <f>IF(AND(S8&lt;=200,R8&lt;=40),"大型以内",IF(AND(S8&lt;=260,R8&lt;=50),"特大型","FBA不可"))</f>
        <v>大型以内</v>
      </c>
      <c r="Y8" s="25" t="n">
        <v>0</v>
      </c>
      <c r="Z8" s="24">
        <f>M8*'前提条件'!$B$4*(1+'前提条件'!$B$5)</f>
        <v>2332.8</v>
      </c>
      <c r="AA8" s="24">
        <f>T8*'前提条件'!$B$6</f>
        <v>475.2</v>
      </c>
      <c r="AB8" s="24">
        <f>(Z8+AA8)*Y8</f>
        <v>0</v>
      </c>
      <c r="AC8" s="24">
        <f>Z8+N8+AA8+AB8</f>
        <v>3108</v>
      </c>
      <c r="AD8" s="24">
        <f>J8/(1+'前提条件'!$B$13)</f>
        <v>9072.72727272727</v>
      </c>
      <c r="AE8" s="24">
        <f>J8*E8</f>
        <v>1037.92</v>
      </c>
      <c r="AF8" s="24">
        <f>AD8*'前提条件'!$B$8</f>
        <v>907.272727272727</v>
      </c>
      <c r="AG8" s="24">
        <f>AD8*'前提条件'!$B$9</f>
        <v>362.909090909091</v>
      </c>
      <c r="AH8" s="24">
        <f>T8*'前提条件'!$B$10*'前提条件'!$B$11</f>
        <v>178.2</v>
      </c>
      <c r="AI8" s="24">
        <f>'前提条件'!$B$12</f>
        <v>300</v>
      </c>
      <c r="AJ8" s="24">
        <f>AD8-AE8-W8-AF8-AG8-AH8-AI8-AC8</f>
        <v>1728.42545454545</v>
      </c>
      <c r="AK8" s="17">
        <f>IF(AD8&gt;0,AJ8/AD8,0)</f>
        <v>0.190507815631262</v>
      </c>
      <c r="AL8" s="17">
        <f>IF(AD8&gt;0,(AJ8+AF8)/AD8,0)</f>
        <v>0.290507815631263</v>
      </c>
      <c r="AM8" s="17">
        <f>IF(AC8&gt;0,AJ8/AC8,0)</f>
        <v>0.556121446121446</v>
      </c>
      <c r="AN8" s="13" t="n">
        <v>100</v>
      </c>
      <c r="AO8" s="24">
        <f>J8*AN8</f>
        <v>998000</v>
      </c>
      <c r="AP8" s="24">
        <f>AJ8*AN8</f>
        <v>172842.545454545</v>
      </c>
      <c r="AQ8" s="22">
        <f>IF(AJ8&gt;0,ROUNDUP('前提条件'!$B$15/AJ8,0),"赤字")</f>
        <v>579</v>
      </c>
      <c r="AR8" s="24">
        <f>W8+(AJ8-'前提条件'!$B$14*AD8)</f>
        <v>1817.51636363636</v>
      </c>
      <c r="AS8" s="26">
        <f>M8+(AJ8-'前提条件'!$B$14*AD8)/('前提条件'!$B$4*(1+'前提条件'!$B$5)*(1+Y8))</f>
        <v>104.178872053872</v>
      </c>
      <c r="AT8" s="15" t="str">
        <f>IF(AK8&gt;='前提条件'!$B$14,"◎ 15%以上",IF(AK8&gt;='前提条件'!$B$16,"△ 条件付き","× 除外"))</f>
        <v>◎ 15%以上</v>
      </c>
      <c r="AU8" s="15" t="inlineStr">
        <is>
          <t>①フック高さ・幅・角度を無段階調整②床保護マット＋タイヤ受け③ヘルメット・小物棚④突っ張り不要の自立式（天井高を問わない）⑤1台20kgの耐荷重表示と車種別適合表</t>
        </is>
      </c>
      <c r="AV8" s="15" t="inlineStr">
        <is>
          <t>ロードバイク2台でもぐらつかない／日本製は安っぽいパーツがないと好評／シンプルなデザイン／フックの高さ・角度調整</t>
        </is>
      </c>
      <c r="AW8" s="15" t="inlineStr">
        <is>
          <t>【高】突っ張り式は天井が高すぎる・弱いと使えない（天井高203〜268cm等の制約）／【中】天井・壁の傷／【中】フック位置が合わない車種</t>
        </is>
      </c>
      <c r="AX8" s="15" t="inlineStr">
        <is>
          <t>【高】天井に依存しない自立構造＋車種別フック</t>
        </is>
      </c>
      <c r="AY8" s="15" t="inlineStr">
        <is>
          <t>競合=B（足立製作所の価格・仕様は検索結果）／原価・月販=C</t>
        </is>
      </c>
      <c r="AZ8" s="15" t="inlineStr">
        <is>
          <t>1688で重量ベース型の自立式双车架を見積／適合車種表の作成／突っ張り式との比較画像</t>
        </is>
      </c>
    </row>
    <row r="9" ht="150" customHeight="1">
      <c r="A9" s="13" t="n">
        <v>5</v>
      </c>
      <c r="B9" s="14" t="inlineStr">
        <is>
          <t>A3複合機対応プリンターワゴン（横揺れ防止・大径キャスター）</t>
        </is>
      </c>
      <c r="C9" s="15" t="inlineStr">
        <is>
          <t>20〜30kgのA3インクジェット複合機を載せても印刷中に揺れない業務用ワゴン。国内メーカー品より安く、中国系汎用品より頑丈に</t>
        </is>
      </c>
      <c r="D9" s="16" t="inlineStr">
        <is>
          <t>文房具・オフィス用品</t>
        </is>
      </c>
      <c r="E9" s="17">
        <f>IFERROR(INDEX('前提条件'!$B$20:$B$28,MATCH(D9,'前提条件'!$A$20:$A$28,0)),'前提条件'!$B$20)</f>
        <v>0.154</v>
      </c>
      <c r="F9" s="15" t="inlineStr">
        <is>
          <t>PUNCIA 3段（W50×D40×H73・120kg）B0DCMV6DKF、サンワサプライ LPS-T6060L（60×60×50・100kg）、山崎実業、margherita A3 Storage Cart、SS-LPS-01T（80kg）</t>
        </is>
      </c>
      <c r="G9" s="18" t="inlineStr">
        <is>
          <t>https://www.amazon.co.jp/dp/B0DCMV6DKF</t>
        </is>
      </c>
      <c r="H9" s="15" t="inlineStr">
        <is>
          <t>価格未確認（中国系3段ワゴンは¥6,000〜10,000程度と推定、サンワ等の国内品は上位価格帯）</t>
        </is>
      </c>
      <c r="I9" s="18" t="inlineStr">
        <is>
          <t>Amazonで検索</t>
        </is>
      </c>
      <c r="J9" s="19" t="n">
        <v>10980</v>
      </c>
      <c r="K9" s="15" t="inlineStr">
        <is>
          <t>打印机推车 A3 复印机架 带轮 三层 钢木</t>
        </is>
      </c>
      <c r="L9" s="18" t="inlineStr">
        <is>
          <t>1688で検索</t>
        </is>
      </c>
      <c r="M9" s="20" t="n">
        <v>85</v>
      </c>
      <c r="N9" s="19" t="n">
        <v>300</v>
      </c>
      <c r="O9" s="13" t="n">
        <v>66</v>
      </c>
      <c r="P9" s="13" t="n">
        <v>56</v>
      </c>
      <c r="Q9" s="13" t="n">
        <v>15</v>
      </c>
      <c r="R9" s="21" t="n">
        <v>15</v>
      </c>
      <c r="S9" s="22">
        <f>O9+P9+Q9</f>
        <v>137</v>
      </c>
      <c r="T9" s="23">
        <f>O9*P9*Q9/1000000</f>
        <v>0.05544</v>
      </c>
      <c r="U9" s="22">
        <f>MAX(MATCH(S9,'前提条件'!$C$34:$C$46,1),INDEX('前提条件'!$J$34:$J$41,MATCH(R9,'前提条件'!$H$34:$H$41,1)))</f>
        <v>5</v>
      </c>
      <c r="V9" s="15" t="str">
        <f>INDEX('前提条件'!$B$34:$B$46,U9)</f>
        <v>140サイズ</v>
      </c>
      <c r="W9" s="24">
        <f>INDEX('前提条件'!$E$34:$E$46,U9)*'前提条件'!$B$7</f>
        <v>1250</v>
      </c>
      <c r="X9" s="15" t="str">
        <f>IF(AND(S9&lt;=200,R9&lt;=40),"大型以内",IF(AND(S9&lt;=260,R9&lt;=50),"特大型","FBA不可"))</f>
        <v>大型以内</v>
      </c>
      <c r="Y9" s="25" t="n">
        <v>0</v>
      </c>
      <c r="Z9" s="24">
        <f>M9*'前提条件'!$B$4*(1+'前提条件'!$B$5)</f>
        <v>2203.2</v>
      </c>
      <c r="AA9" s="24">
        <f>T9*'前提条件'!$B$6</f>
        <v>665.28</v>
      </c>
      <c r="AB9" s="24">
        <f>(Z9+AA9)*Y9</f>
        <v>0</v>
      </c>
      <c r="AC9" s="24">
        <f>Z9+N9+AA9+AB9</f>
        <v>3168.48</v>
      </c>
      <c r="AD9" s="24">
        <f>J9/(1+'前提条件'!$B$13)</f>
        <v>9981.81818181818</v>
      </c>
      <c r="AE9" s="24">
        <f>J9*E9</f>
        <v>1690.92</v>
      </c>
      <c r="AF9" s="24">
        <f>AD9*'前提条件'!$B$8</f>
        <v>998.181818181818</v>
      </c>
      <c r="AG9" s="24">
        <f>AD9*'前提条件'!$B$9</f>
        <v>399.272727272727</v>
      </c>
      <c r="AH9" s="24">
        <f>T9*'前提条件'!$B$10*'前提条件'!$B$11</f>
        <v>249.48</v>
      </c>
      <c r="AI9" s="24">
        <f>'前提条件'!$B$12</f>
        <v>300</v>
      </c>
      <c r="AJ9" s="24">
        <f>AD9-AE9-W9-AF9-AG9-AH9-AI9-AC9</f>
        <v>1925.48363636363</v>
      </c>
      <c r="AK9" s="17">
        <f>IF(AD9&gt;0,AJ9/AD9,0)</f>
        <v>0.192899089253187</v>
      </c>
      <c r="AL9" s="17">
        <f>IF(AD9&gt;0,(AJ9+AF9)/AD9,0)</f>
        <v>0.292899089253187</v>
      </c>
      <c r="AM9" s="17">
        <f>IF(AC9&gt;0,AJ9/AC9,0)</f>
        <v>0.607699476204247</v>
      </c>
      <c r="AN9" s="13" t="n">
        <v>60</v>
      </c>
      <c r="AO9" s="24">
        <f>J9*AN9</f>
        <v>658800</v>
      </c>
      <c r="AP9" s="24">
        <f>AJ9*AN9</f>
        <v>115529.018181818</v>
      </c>
      <c r="AQ9" s="22">
        <f>IF(AJ9&gt;0,ROUNDUP('前提条件'!$B$15/AJ9,0),"赤字")</f>
        <v>520</v>
      </c>
      <c r="AR9" s="24">
        <f>W9+(AJ9-'前提条件'!$B$14*AD9)</f>
        <v>1678.21090909091</v>
      </c>
      <c r="AS9" s="26">
        <f>M9+(AJ9-'前提条件'!$B$14*AD9)/('前提条件'!$B$4*(1+'前提条件'!$B$5)*(1+Y9))</f>
        <v>101.520482603816</v>
      </c>
      <c r="AT9" s="15" t="str">
        <f>IF(AK9&gt;='前提条件'!$B$14,"◎ 15%以上",IF(AK9&gt;='前提条件'!$B$16,"△ 条件付き","× 除外"))</f>
        <v>◎ 15%以上</v>
      </c>
      <c r="AU9" s="15" t="inlineStr">
        <is>
          <t>①背面パネル＋筋交いで印刷中の横揺れを防止②Φ75mm以上の静音キャスター（全輪ストッパー）③A3/A4用紙の仕切り・引き出し④天板耐荷重60kg表示⑤主要A3複合機（EPSON/Brother/Canon）の適合寸法表</t>
        </is>
      </c>
      <c r="AV9" s="15" t="inlineStr">
        <is>
          <t>組立20分程度で簡単／約25kgの複合機でも強度に問題なし／全キャスターにストッパー／中棚を5cm間隔で調整できる</t>
        </is>
      </c>
      <c r="AW9" s="15" t="inlineStr">
        <is>
          <t>【高】複合機の印刷中に揺れる／【高】天板が直角に留まらない等の部材精度の不良（PUNCIAのレビュー）／【中】耐荷重不足（天板40kg・底板15kg等）</t>
        </is>
      </c>
      <c r="AX9" s="15" t="inlineStr">
        <is>
          <t>【高】横揺れ対策（背面パネル）と部材精度の検品基準</t>
        </is>
      </c>
      <c r="AY9" s="15" t="inlineStr">
        <is>
          <t>競合=B／価格帯・原価・月販=C（売価¥9,980まで下げると15%割れ）</t>
        </is>
      </c>
      <c r="AZ9" s="15" t="inlineStr">
        <is>
          <t>A3複合機の外寸・重量リスト化／1688で背面板付きモデルを見積／サンワ製品の実売価格を確認</t>
        </is>
      </c>
    </row>
    <row r="10" ht="150" customHeight="1">
      <c r="A10" s="13" t="n">
        <v>6</v>
      </c>
      <c r="B10" s="14" t="inlineStr">
        <is>
          <t>洗濯機上ランドリーラック（蛇口・防水パン干渉ゼロ設計）</t>
        </is>
      </c>
      <c r="C10" s="15" t="inlineStr">
        <is>
          <t>『蛇口に当たる・防水パンでぐらつく・天井が低い』で置けない不満を解消する上位価格帯モデル</t>
        </is>
      </c>
      <c r="D10" s="16" t="inlineStr">
        <is>
          <t>ホーム&amp;キッチン</t>
        </is>
      </c>
      <c r="E10" s="17">
        <f>IFERROR(INDEX('前提条件'!$B$20:$B$28,MATCH(D10,'前提条件'!$A$20:$A$28,0)),'前提条件'!$B$20)</f>
        <v>0.154</v>
      </c>
      <c r="F10" s="15" t="inlineStr">
        <is>
          <t>山善 WJL-HS1（幅83-110×奥行52×高さ190-255cm）B07Q51GGGB、アイリスオーヤマ BSSL-860R／HSLR-EX895（全体13kg・棚5kg）、BAOYOUNI 突っ張り</t>
        </is>
      </c>
      <c r="G10" s="18" t="inlineStr">
        <is>
          <t>https://www.amazon.co.jp/dp/B07Q51GGGB</t>
        </is>
      </c>
      <c r="H10" s="15" t="inlineStr">
        <is>
          <t>価格未確認（大手品は数千円台と推定→当社は上位価格帯を狙う）</t>
        </is>
      </c>
      <c r="I10" s="18" t="inlineStr">
        <is>
          <t>Amazonで検索</t>
        </is>
      </c>
      <c r="J10" s="19" t="n">
        <v>7980</v>
      </c>
      <c r="K10" s="15" t="inlineStr">
        <is>
          <t>洗衣机置物架 落地 可伸缩 滚筒 卫生间</t>
        </is>
      </c>
      <c r="L10" s="18" t="inlineStr">
        <is>
          <t>1688で検索</t>
        </is>
      </c>
      <c r="M10" s="20" t="n">
        <v>55</v>
      </c>
      <c r="N10" s="19" t="n">
        <v>250</v>
      </c>
      <c r="O10" s="13" t="n">
        <v>95</v>
      </c>
      <c r="P10" s="13" t="n">
        <v>22</v>
      </c>
      <c r="Q10" s="13" t="n">
        <v>10</v>
      </c>
      <c r="R10" s="21" t="n">
        <v>7</v>
      </c>
      <c r="S10" s="22">
        <f>O10+P10+Q10</f>
        <v>127</v>
      </c>
      <c r="T10" s="23">
        <f>O10*P10*Q10/1000000</f>
        <v>0.0209</v>
      </c>
      <c r="U10" s="22">
        <f>MAX(MATCH(S10,'前提条件'!$C$34:$C$46,1),INDEX('前提条件'!$J$34:$J$41,MATCH(R10,'前提条件'!$H$34:$H$41,1)))</f>
        <v>5</v>
      </c>
      <c r="V10" s="15" t="str">
        <f>INDEX('前提条件'!$B$34:$B$46,U10)</f>
        <v>140サイズ</v>
      </c>
      <c r="W10" s="24">
        <f>INDEX('前提条件'!$E$34:$E$46,U10)*'前提条件'!$B$7</f>
        <v>1250</v>
      </c>
      <c r="X10" s="15" t="str">
        <f>IF(AND(S10&lt;=200,R10&lt;=40),"大型以内",IF(AND(S10&lt;=260,R10&lt;=50),"特大型","FBA不可"))</f>
        <v>大型以内</v>
      </c>
      <c r="Y10" s="25" t="n">
        <v>0</v>
      </c>
      <c r="Z10" s="24">
        <f>M10*'前提条件'!$B$4*(1+'前提条件'!$B$5)</f>
        <v>1425.6</v>
      </c>
      <c r="AA10" s="24">
        <f>T10*'前提条件'!$B$6</f>
        <v>250.8</v>
      </c>
      <c r="AB10" s="24">
        <f>(Z10+AA10)*Y10</f>
        <v>0</v>
      </c>
      <c r="AC10" s="24">
        <f>Z10+N10+AA10+AB10</f>
        <v>1926.4</v>
      </c>
      <c r="AD10" s="24">
        <f>J10/(1+'前提条件'!$B$13)</f>
        <v>7254.54545454545</v>
      </c>
      <c r="AE10" s="24">
        <f>J10*E10</f>
        <v>1228.92</v>
      </c>
      <c r="AF10" s="24">
        <f>AD10*'前提条件'!$B$8</f>
        <v>725.454545454546</v>
      </c>
      <c r="AG10" s="24">
        <f>AD10*'前提条件'!$B$9</f>
        <v>290.181818181818</v>
      </c>
      <c r="AH10" s="24">
        <f>T10*'前提条件'!$B$10*'前提条件'!$B$11</f>
        <v>94.05</v>
      </c>
      <c r="AI10" s="24">
        <f>'前提条件'!$B$12</f>
        <v>300</v>
      </c>
      <c r="AJ10" s="24">
        <f>AD10-AE10-W10-AF10-AG10-AH10-AI10-AC10</f>
        <v>1439.53909090909</v>
      </c>
      <c r="AK10" s="17">
        <f>IF(AD10&gt;0,AJ10/AD10,0)</f>
        <v>0.198432706766917</v>
      </c>
      <c r="AL10" s="17">
        <f>IF(AD10&gt;0,(AJ10+AF10)/AD10,0)</f>
        <v>0.298432706766917</v>
      </c>
      <c r="AM10" s="17">
        <f>IF(AC10&gt;0,AJ10/AC10,0)</f>
        <v>0.747269046360616</v>
      </c>
      <c r="AN10" s="13" t="n">
        <v>200</v>
      </c>
      <c r="AO10" s="24">
        <f>J10*AN10</f>
        <v>1596000</v>
      </c>
      <c r="AP10" s="24">
        <f>AJ10*AN10</f>
        <v>287907.818181818</v>
      </c>
      <c r="AQ10" s="22">
        <f>IF(AJ10&gt;0,ROUNDUP('前提条件'!$B$15/AJ10,0),"赤字")</f>
        <v>695</v>
      </c>
      <c r="AR10" s="24">
        <f>W10+(AJ10-'前提条件'!$B$14*AD10)</f>
        <v>1601.35727272727</v>
      </c>
      <c r="AS10" s="26">
        <f>M10+(AJ10-'前提条件'!$B$14*AD10)/('前提条件'!$B$4*(1+'前提条件'!$B$5)*(1+Y10))</f>
        <v>68.5554503367003</v>
      </c>
      <c r="AT10" s="15" t="str">
        <f>IF(AK10&gt;='前提条件'!$B$14,"◎ 15%以上",IF(AK10&gt;='前提条件'!$B$16,"△ 条件付き","× 除外"))</f>
        <v>◎ 15%以上</v>
      </c>
      <c r="AU10" s="15" t="inlineStr">
        <is>
          <t>①蛇口位置に合わせて棚をずらせるオフセット棚②防水パンの段差用アジャスター脚③天井高190cm〜対応④棚耐荷重10kg・筋交いで強化⑤購入前チェックシート（蛇口・防水パン・天井高）</t>
        </is>
      </c>
      <c r="AV10" s="15" t="inlineStr">
        <is>
          <t>大型洗濯機に対応／防水パンと床を跨いで設置できる／組立が簡単／筋交い構造でぐらつきにくい</t>
        </is>
      </c>
      <c r="AW10" s="15" t="inlineStr">
        <is>
          <t>【高】蛇口に当たって設置できない・ホースが無理な角度に／【高】脚が防水パンの段差に乗ってぐらつく／【中】突っ張り部が外れやすい／【中】防水パンから天井まで約200cmで合う製品がない／【中】洗濯機の蓋が開かない</t>
        </is>
      </c>
      <c r="AX10" s="15" t="inlineStr">
        <is>
          <t>【高】蛇口・防水パンとの干渉の解消（オフセット棚＋段差アジャスター）</t>
        </is>
      </c>
      <c r="AY10" s="15" t="inlineStr">
        <is>
          <t>競合・レビュー=B／価格帯・原価・月販=C（売価¥6,980だと利益率約13%）</t>
        </is>
      </c>
      <c r="AZ10" s="15" t="inlineStr">
        <is>
          <t>上位10品の実売価格を確認（価格リスク）／1688で可伸缩落地架を見積／耐荷重試験</t>
        </is>
      </c>
    </row>
    <row r="11" ht="150" customHeight="1">
      <c r="A11" s="13" t="n">
        <v>7</v>
      </c>
      <c r="B11" s="14" t="inlineStr">
        <is>
          <t>ボール収納ワゴン（学校・クラブ向け・キャスター付き）</t>
        </is>
      </c>
      <c r="C11" s="15" t="inlineStr">
        <is>
          <t>部活・スポーツ少年団・体育館向け。耐荷重強化とキャスター強化、交換用バッグの継続販売で業務需要を取る</t>
        </is>
      </c>
      <c r="D11" s="16" t="inlineStr">
        <is>
          <t>スポーツ&amp;アウトドア</t>
        </is>
      </c>
      <c r="E11" s="17">
        <f>IFERROR(INDEX('前提条件'!$B$20:$B$28,MATCH(D11,'前提条件'!$A$20:$A$28,0)),'前提条件'!$B$20)</f>
        <v>0.104</v>
      </c>
      <c r="F11" s="15" t="inlineStr">
        <is>
          <t>Earth Wing ボールカゴ（67×67×88cm・約3kg・耐荷重約7kg・¥8,480）、molten ボールかご、体育館用ボールカート</t>
        </is>
      </c>
      <c r="G11" s="18" t="inlineStr">
        <is>
          <t>https://store.shopping.yahoo.co.jp/discount-spirits2/a000000131862-copy.html</t>
        </is>
      </c>
      <c r="H11" s="15" t="inlineStr">
        <is>
          <t>Earth Wing ¥8,480（検索結果）</t>
        </is>
      </c>
      <c r="I11" s="18" t="inlineStr">
        <is>
          <t>Amazonで検索</t>
        </is>
      </c>
      <c r="J11" s="19" t="n">
        <v>9980</v>
      </c>
      <c r="K11" s="15" t="inlineStr">
        <is>
          <t>球车 篮球收纳车 带轮 折叠 学校 体育器材</t>
        </is>
      </c>
      <c r="L11" s="18" t="inlineStr">
        <is>
          <t>1688で検索</t>
        </is>
      </c>
      <c r="M11" s="20" t="n">
        <v>80</v>
      </c>
      <c r="N11" s="19" t="n">
        <v>300</v>
      </c>
      <c r="O11" s="13" t="n">
        <v>90</v>
      </c>
      <c r="P11" s="13" t="n">
        <v>55</v>
      </c>
      <c r="Q11" s="13" t="n">
        <v>12</v>
      </c>
      <c r="R11" s="21" t="n">
        <v>10</v>
      </c>
      <c r="S11" s="22">
        <f>O11+P11+Q11</f>
        <v>157</v>
      </c>
      <c r="T11" s="23">
        <f>O11*P11*Q11/1000000</f>
        <v>0.0594</v>
      </c>
      <c r="U11" s="22">
        <f>MAX(MATCH(S11,'前提条件'!$C$34:$C$46,1),INDEX('前提条件'!$J$34:$J$41,MATCH(R11,'前提条件'!$H$34:$H$41,1)))</f>
        <v>6</v>
      </c>
      <c r="V11" s="15" t="str">
        <f>INDEX('前提条件'!$B$34:$B$46,U11)</f>
        <v>160サイズ</v>
      </c>
      <c r="W11" s="24">
        <f>INDEX('前提条件'!$E$34:$E$46,U11)*'前提条件'!$B$7</f>
        <v>1450</v>
      </c>
      <c r="X11" s="15" t="str">
        <f>IF(AND(S11&lt;=200,R11&lt;=40),"大型以内",IF(AND(S11&lt;=260,R11&lt;=50),"特大型","FBA不可"))</f>
        <v>大型以内</v>
      </c>
      <c r="Y11" s="25" t="n">
        <v>0</v>
      </c>
      <c r="Z11" s="24">
        <f>M11*'前提条件'!$B$4*(1+'前提条件'!$B$5)</f>
        <v>2073.6</v>
      </c>
      <c r="AA11" s="24">
        <f>T11*'前提条件'!$B$6</f>
        <v>712.8</v>
      </c>
      <c r="AB11" s="24">
        <f>(Z11+AA11)*Y11</f>
        <v>0</v>
      </c>
      <c r="AC11" s="24">
        <f>Z11+N11+AA11+AB11</f>
        <v>3086.4</v>
      </c>
      <c r="AD11" s="24">
        <f>J11/(1+'前提条件'!$B$13)</f>
        <v>9072.72727272727</v>
      </c>
      <c r="AE11" s="24">
        <f>J11*E11</f>
        <v>1037.92</v>
      </c>
      <c r="AF11" s="24">
        <f>AD11*'前提条件'!$B$8</f>
        <v>907.272727272727</v>
      </c>
      <c r="AG11" s="24">
        <f>AD11*'前提条件'!$B$9</f>
        <v>362.909090909091</v>
      </c>
      <c r="AH11" s="24">
        <f>T11*'前提条件'!$B$10*'前提条件'!$B$11</f>
        <v>267.3</v>
      </c>
      <c r="AI11" s="24">
        <f>'前提条件'!$B$12</f>
        <v>300</v>
      </c>
      <c r="AJ11" s="24">
        <f>AD11-AE11-W11-AF11-AG11-AH11-AI11-AC11</f>
        <v>1660.92545454545</v>
      </c>
      <c r="AK11" s="17">
        <f>IF(AD11&gt;0,AJ11/AD11,0)</f>
        <v>0.183067935871743</v>
      </c>
      <c r="AL11" s="17">
        <f>IF(AD11&gt;0,(AJ11+AF11)/AD11,0)</f>
        <v>0.283067935871743</v>
      </c>
      <c r="AM11" s="17">
        <f>IF(AC11&gt;0,AJ11/AC11,0)</f>
        <v>0.538143291389792</v>
      </c>
      <c r="AN11" s="13" t="n">
        <v>40</v>
      </c>
      <c r="AO11" s="24">
        <f>J11*AN11</f>
        <v>399200</v>
      </c>
      <c r="AP11" s="24">
        <f>AJ11*AN11</f>
        <v>66437.0181818181</v>
      </c>
      <c r="AQ11" s="22">
        <f>IF(AJ11&gt;0,ROUNDUP('前提条件'!$B$15/AJ11,0),"赤字")</f>
        <v>603</v>
      </c>
      <c r="AR11" s="24">
        <f>W11+(AJ11-'前提条件'!$B$14*AD11)</f>
        <v>1750.01636363636</v>
      </c>
      <c r="AS11" s="26">
        <f>M11+(AJ11-'前提条件'!$B$14*AD11)/('前提条件'!$B$4*(1+'前提条件'!$B$5)*(1+Y11))</f>
        <v>91.5747053872053</v>
      </c>
      <c r="AT11" s="15" t="str">
        <f>IF(AK11&gt;='前提条件'!$B$14,"◎ 15%以上",IF(AK11&gt;='前提条件'!$B$16,"△ 条件付き","× 除外"))</f>
        <v>◎ 15%以上</v>
      </c>
      <c r="AU11" s="15" t="inlineStr">
        <is>
          <t>①Φ75mmキャスター（2輪ロック）②耐荷重15kg以上に強化③交換用ナイロンバッグを単品販売④学校名などの名入れ対応⑤折りたたみ時の固定ベルト</t>
        </is>
      </c>
      <c r="AV11" s="15" t="inlineStr">
        <is>
          <t>折りたたみで軽く持ち運びやすい／バレーボール5号球が約20個入る／キャスターで移動が楽</t>
        </is>
      </c>
      <c r="AW11" s="15" t="inlineStr">
        <is>
          <t>【高】耐荷重約7kgと低い／【中】段差や引きずりでキャスターが傷む・根元が破損／【中】（一般傾向）袋の破れ</t>
        </is>
      </c>
      <c r="AX11" s="15" t="inlineStr">
        <is>
          <t>【高】耐荷重とキャスターの強化</t>
        </is>
      </c>
      <c r="AY11" s="15" t="inlineStr">
        <is>
          <t>競合=B（Earth Wing価格・仕様）／レビュー=B（件数少）／原価・月販=C</t>
        </is>
      </c>
      <c r="AZ11" s="15" t="inlineStr">
        <is>
          <t>学校・クラブの購買（公費・請求書払い）動線を確認／Amazonビジネス価格の設定／1688で篮球车を見積</t>
        </is>
      </c>
    </row>
    <row r="12" ht="150" customHeight="1">
      <c r="A12" s="13" t="n">
        <v>8</v>
      </c>
      <c r="B12" s="14" t="inlineStr">
        <is>
          <t>サロン収納ワゴン（髪が絡まないキャスター・ドライヤーホルダー）</t>
        </is>
      </c>
      <c r="C12" s="15" t="inlineStr">
        <is>
          <t>美容室・ネイル・エステ向け業務用ワゴン。汎用3段ワゴン（¥2〜5千）と差別化できる業務機能で上位価格帯を狙う</t>
        </is>
      </c>
      <c r="D12" s="16" t="inlineStr">
        <is>
          <t>ホーム&amp;キッチン</t>
        </is>
      </c>
      <c r="E12" s="17">
        <f>IFERROR(INDEX('前提条件'!$B$20:$B$28,MATCH(D12,'前提条件'!$A$20:$A$28,0)),'前提条件'!$B$20)</f>
        <v>0.154</v>
      </c>
      <c r="F12" s="15" t="inlineStr">
        <is>
          <t>Amazonの汎用3段引き出しワゴン（¥2,384〜4,980）、bisella・mateli 美容室ワゴン（木製・ステンレス）、ビューティガレージ</t>
        </is>
      </c>
      <c r="G12" s="18" t="inlineStr">
        <is>
          <t>https://www.bisella.com/wagon</t>
        </is>
      </c>
      <c r="H12" s="15" t="inlineStr">
        <is>
          <t>汎用3段ワゴン ¥2,384〜4,980（検索結果）／業務用は上位価格帯（価格未確認）</t>
        </is>
      </c>
      <c r="I12" s="18" t="inlineStr">
        <is>
          <t>Amazonで検索</t>
        </is>
      </c>
      <c r="J12" s="19" t="n">
        <v>7980</v>
      </c>
      <c r="K12" s="15" t="inlineStr">
        <is>
          <t>美发推车 理发店 工具车 带抽屉 吹风机架</t>
        </is>
      </c>
      <c r="L12" s="18" t="inlineStr">
        <is>
          <t>1688で検索</t>
        </is>
      </c>
      <c r="M12" s="20" t="n">
        <v>60</v>
      </c>
      <c r="N12" s="19" t="n">
        <v>200</v>
      </c>
      <c r="O12" s="13" t="n">
        <v>60</v>
      </c>
      <c r="P12" s="13" t="n">
        <v>40</v>
      </c>
      <c r="Q12" s="13" t="n">
        <v>15</v>
      </c>
      <c r="R12" s="21" t="n">
        <v>7</v>
      </c>
      <c r="S12" s="22">
        <f>O12+P12+Q12</f>
        <v>115</v>
      </c>
      <c r="T12" s="23">
        <f>O12*P12*Q12/1000000</f>
        <v>0.036</v>
      </c>
      <c r="U12" s="22">
        <f>MAX(MATCH(S12,'前提条件'!$C$34:$C$46,1),INDEX('前提条件'!$J$34:$J$41,MATCH(R12,'前提条件'!$H$34:$H$41,1)))</f>
        <v>4</v>
      </c>
      <c r="V12" s="15" t="str">
        <f>INDEX('前提条件'!$B$34:$B$46,U12)</f>
        <v>120サイズ</v>
      </c>
      <c r="W12" s="24">
        <f>INDEX('前提条件'!$E$34:$E$46,U12)*'前提条件'!$B$7</f>
        <v>1050</v>
      </c>
      <c r="X12" s="15" t="str">
        <f>IF(AND(S12&lt;=200,R12&lt;=40),"大型以内",IF(AND(S12&lt;=260,R12&lt;=50),"特大型","FBA不可"))</f>
        <v>大型以内</v>
      </c>
      <c r="Y12" s="25" t="n">
        <v>0</v>
      </c>
      <c r="Z12" s="24">
        <f>M12*'前提条件'!$B$4*(1+'前提条件'!$B$5)</f>
        <v>1555.2</v>
      </c>
      <c r="AA12" s="24">
        <f>T12*'前提条件'!$B$6</f>
        <v>432</v>
      </c>
      <c r="AB12" s="24">
        <f>(Z12+AA12)*Y12</f>
        <v>0</v>
      </c>
      <c r="AC12" s="24">
        <f>Z12+N12+AA12+AB12</f>
        <v>2187.2</v>
      </c>
      <c r="AD12" s="24">
        <f>J12/(1+'前提条件'!$B$13)</f>
        <v>7254.54545454545</v>
      </c>
      <c r="AE12" s="24">
        <f>J12*E12</f>
        <v>1228.92</v>
      </c>
      <c r="AF12" s="24">
        <f>AD12*'前提条件'!$B$8</f>
        <v>725.454545454546</v>
      </c>
      <c r="AG12" s="24">
        <f>AD12*'前提条件'!$B$9</f>
        <v>290.181818181818</v>
      </c>
      <c r="AH12" s="24">
        <f>T12*'前提条件'!$B$10*'前提条件'!$B$11</f>
        <v>162</v>
      </c>
      <c r="AI12" s="24">
        <f>'前提条件'!$B$12</f>
        <v>300</v>
      </c>
      <c r="AJ12" s="24">
        <f>AD12-AE12-W12-AF12-AG12-AH12-AI12-AC12</f>
        <v>1310.78909090909</v>
      </c>
      <c r="AK12" s="17">
        <f>IF(AD12&gt;0,AJ12/AD12,0)</f>
        <v>0.180685213032581</v>
      </c>
      <c r="AL12" s="17">
        <f>IF(AD12&gt;0,(AJ12+AF12)/AD12,0)</f>
        <v>0.280685213032581</v>
      </c>
      <c r="AM12" s="17">
        <f>IF(AC12&gt;0,AJ12/AC12,0)</f>
        <v>0.599300059852364</v>
      </c>
      <c r="AN12" s="13" t="n">
        <v>60</v>
      </c>
      <c r="AO12" s="24">
        <f>J12*AN12</f>
        <v>478800</v>
      </c>
      <c r="AP12" s="24">
        <f>AJ12*AN12</f>
        <v>78647.3454545454</v>
      </c>
      <c r="AQ12" s="22">
        <f>IF(AJ12&gt;0,ROUNDUP('前提条件'!$B$15/AJ12,0),"赤字")</f>
        <v>763</v>
      </c>
      <c r="AR12" s="24">
        <f>W12+(AJ12-'前提条件'!$B$14*AD12)</f>
        <v>1272.60727272727</v>
      </c>
      <c r="AS12" s="26">
        <f>M12+(AJ12-'前提条件'!$B$14*AD12)/('前提条件'!$B$4*(1+'前提条件'!$B$5)*(1+Y12))</f>
        <v>68.5882435465769</v>
      </c>
      <c r="AT12" s="15" t="str">
        <f>IF(AK12&gt;='前提条件'!$B$14,"◎ 15%以上",IF(AK12&gt;='前提条件'!$B$16,"△ 条件付き","× 除外"))</f>
        <v>◎ 15%以上</v>
      </c>
      <c r="AU12" s="15" t="inlineStr">
        <is>
          <t>①髪が絡みにくいポールキャスター②耐熱ドライヤー・アイロンホルダー③カラー剤カップホルダー④引き出しストッパー⑤低重心で倒れにくい</t>
        </is>
      </c>
      <c r="AV12" s="15" t="inlineStr">
        <is>
          <t>キャスター移動がスムーズ／ドライヤー・カップホルダー付きが好評／収納力</t>
        </is>
      </c>
      <c r="AW12" s="15" t="inlineStr">
        <is>
          <t>【高】汎用ワゴンとの価格差（¥2〜5千が競合）／【高】キャスターに髪が絡む／【中】（一般傾向）軽くて倒れやすい</t>
        </is>
      </c>
      <c r="AX12" s="15" t="inlineStr">
        <is>
          <t>【高】髪が絡まないキャスター＋業務用の安定性</t>
        </is>
      </c>
      <c r="AY12" s="15" t="inlineStr">
        <is>
          <t>競合=B／レビュー=B（件数少）／価格帯・原価・月販=C（売価¥6,980だと利益率約11%）</t>
        </is>
      </c>
      <c r="AZ12" s="15" t="inlineStr">
        <is>
          <t>美容ディーラー・ビューティガレージの実売価格を確認（価格リスク）／1688で美发推车を見積</t>
        </is>
      </c>
    </row>
    <row r="14">
      <c r="A14" s="4" t="inlineStr">
        <is>
          <t>注記</t>
        </is>
      </c>
    </row>
    <row r="15">
      <c r="A15" s="11" t="inlineStr">
        <is>
          <t>・Amazon.co.jp と 1688.com の商品ページは、本作業環境のネットワーク制限で直接開けませんでした。競合の価格・仕様・レビューは検索エンジン経由で確認できた範囲（出典URLは『出典』『レビュー分析』シート）です。</t>
        </is>
      </c>
    </row>
    <row r="16">
      <c r="A16" s="11" t="inlineStr">
        <is>
          <t>・1688の仕入単価は市場相場からの推定です。『1688検索リンク』から実際の出品を開き、単価・MOQ・梱包寸法・重量で上書きしてください（黄色セル）。</t>
        </is>
      </c>
    </row>
    <row r="17">
      <c r="A17" s="11" t="inlineStr">
        <is>
          <t>・送料は天瞳の送料資料が未共有のため仮置きです。『前提条件』シートの送料表・立米単価を差し替えると、利益・判定・必要月販がすべて再計算されます。</t>
        </is>
      </c>
    </row>
    <row r="18">
      <c r="A18" s="11" t="inlineStr">
        <is>
          <t>・『15%達成の国内送料上限』『15%達成の仕入単価上限』は、その金額以下なら利益率15%を満たすという損益分岐の目安です。</t>
        </is>
      </c>
    </row>
  </sheetData>
  <autoFilter ref="A4:AZ12"/>
  <mergeCells count="8">
    <mergeCell ref="K3:Y3"/>
    <mergeCell ref="AU3:AZ3"/>
    <mergeCell ref="Z3:AC3"/>
    <mergeCell ref="AD3:AM3"/>
    <mergeCell ref="AR3:AT3"/>
    <mergeCell ref="J3"/>
    <mergeCell ref="AN3:AQ3"/>
    <mergeCell ref="A3:I3"/>
  </mergeCells>
  <hyperlinks>
    <hyperlink xmlns:r="http://schemas.openxmlformats.org/officeDocument/2006/relationships" ref="G5" r:id="rId1"/>
    <hyperlink xmlns:r="http://schemas.openxmlformats.org/officeDocument/2006/relationships" ref="I5" r:id="rId2"/>
    <hyperlink xmlns:r="http://schemas.openxmlformats.org/officeDocument/2006/relationships" ref="L5" r:id="rId3"/>
    <hyperlink xmlns:r="http://schemas.openxmlformats.org/officeDocument/2006/relationships" ref="G6" r:id="rId4"/>
    <hyperlink xmlns:r="http://schemas.openxmlformats.org/officeDocument/2006/relationships" ref="I6" r:id="rId5"/>
    <hyperlink xmlns:r="http://schemas.openxmlformats.org/officeDocument/2006/relationships" ref="L6" r:id="rId6"/>
    <hyperlink xmlns:r="http://schemas.openxmlformats.org/officeDocument/2006/relationships" ref="G7" r:id="rId7"/>
    <hyperlink xmlns:r="http://schemas.openxmlformats.org/officeDocument/2006/relationships" ref="I7" r:id="rId8"/>
    <hyperlink xmlns:r="http://schemas.openxmlformats.org/officeDocument/2006/relationships" ref="L7" r:id="rId9"/>
    <hyperlink xmlns:r="http://schemas.openxmlformats.org/officeDocument/2006/relationships" ref="G8" r:id="rId10"/>
    <hyperlink xmlns:r="http://schemas.openxmlformats.org/officeDocument/2006/relationships" ref="I8" r:id="rId11"/>
    <hyperlink xmlns:r="http://schemas.openxmlformats.org/officeDocument/2006/relationships" ref="L8" r:id="rId12"/>
    <hyperlink xmlns:r="http://schemas.openxmlformats.org/officeDocument/2006/relationships" ref="G9" r:id="rId13"/>
    <hyperlink xmlns:r="http://schemas.openxmlformats.org/officeDocument/2006/relationships" ref="I9" r:id="rId14"/>
    <hyperlink xmlns:r="http://schemas.openxmlformats.org/officeDocument/2006/relationships" ref="L9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L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L11" r:id="rId21"/>
    <hyperlink xmlns:r="http://schemas.openxmlformats.org/officeDocument/2006/relationships" ref="G12" r:id="rId22"/>
    <hyperlink xmlns:r="http://schemas.openxmlformats.org/officeDocument/2006/relationships" ref="I12" r:id="rId23"/>
    <hyperlink xmlns:r="http://schemas.openxmlformats.org/officeDocument/2006/relationships" ref="L12" r:id="rId24"/>
  </hyperlink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56" customWidth="1" min="3" max="3"/>
    <col width="7" customWidth="1" min="4" max="4"/>
    <col width="40" customWidth="1" min="5" max="5"/>
    <col width="40" customWidth="1" min="6" max="6"/>
    <col width="18" customWidth="1" min="7" max="7"/>
  </cols>
  <sheetData>
    <row r="1">
      <c r="A1" s="1" t="inlineStr">
        <is>
          <t>関連商品の口コミ分析（高評価・改善要望・優先度）</t>
        </is>
      </c>
    </row>
    <row r="2">
      <c r="A2" s="11" t="inlineStr">
        <is>
          <t>Amazon・1688の商品ページは本環境から直接閲覧できないため、検索結果の要約・比較記事・販売ページの表記から抽出しました（本文未閲覧を含む）。優先度：高＝製品仕様で必ず解決／中＝できれば仕様で解決／低＝商品ページ・説明書で対応。『要確認』はAmazonレビューの精読が必要な一般傾向です。</t>
        </is>
      </c>
    </row>
    <row r="4">
      <c r="A4" s="5" t="inlineStr">
        <is>
          <t>商品</t>
        </is>
      </c>
      <c r="B4" s="5" t="inlineStr">
        <is>
          <t>区分</t>
        </is>
      </c>
      <c r="C4" s="5" t="inlineStr">
        <is>
          <t>口コミの要旨</t>
        </is>
      </c>
      <c r="D4" s="5" t="inlineStr">
        <is>
          <t>優先度</t>
        </is>
      </c>
      <c r="E4" s="5" t="inlineStr">
        <is>
          <t>当社の対応（付加価値への反映）</t>
        </is>
      </c>
      <c r="F4" s="5" t="inlineStr">
        <is>
          <t>出典URL（検索結果）</t>
        </is>
      </c>
      <c r="G4" s="5" t="inlineStr">
        <is>
          <t>確認方法</t>
        </is>
      </c>
    </row>
    <row r="5" ht="42" customHeight="1">
      <c r="A5" s="14" t="inlineStr">
        <is>
          <t>大型宅配ボックス</t>
        </is>
      </c>
      <c r="B5" s="27" t="inlineStr">
        <is>
          <t>高評価</t>
        </is>
      </c>
      <c r="C5" s="15" t="inlineStr">
        <is>
          <t>大容量で複数の荷物が届いても余裕があり、安心して外出できる</t>
        </is>
      </c>
      <c r="D5" s="28" t="inlineStr">
        <is>
          <t>—</t>
        </is>
      </c>
      <c r="E5" s="15" t="inlineStr">
        <is>
          <t>110L・投函口3か所の複数投函を標準に</t>
        </is>
      </c>
      <c r="F5" s="18" t="inlineStr">
        <is>
          <t>https://my-best.com/5265</t>
        </is>
      </c>
      <c r="G5" s="15" t="inlineStr">
        <is>
          <t>Web検索の要約（本文未閲覧）</t>
        </is>
      </c>
    </row>
    <row r="6" ht="42" customHeight="1">
      <c r="A6" s="14" t="inlineStr">
        <is>
          <t>大型宅配ボックス</t>
        </is>
      </c>
      <c r="B6" s="27" t="inlineStr">
        <is>
          <t>高評価</t>
        </is>
      </c>
      <c r="C6" s="15" t="inlineStr">
        <is>
          <t>防水仕様で天候を気にせず使える／IP55の防塵・防水</t>
        </is>
      </c>
      <c r="D6" s="28" t="inlineStr">
        <is>
          <t>—</t>
        </is>
      </c>
      <c r="E6" s="15" t="inlineStr">
        <is>
          <t>防水パッキン＋排水穴で同等以上を訴求</t>
        </is>
      </c>
      <c r="F6" s="18" t="inlineStr">
        <is>
          <t>https://my-best.com/24523</t>
        </is>
      </c>
      <c r="G6" s="15" t="inlineStr">
        <is>
          <t>Web検索の要約（本文未閲覧）</t>
        </is>
      </c>
    </row>
    <row r="7" ht="42" customHeight="1">
      <c r="A7" s="14" t="inlineStr">
        <is>
          <t>大型宅配ボックス</t>
        </is>
      </c>
      <c r="B7" s="27" t="inlineStr">
        <is>
          <t>高評価</t>
        </is>
      </c>
      <c r="C7" s="15" t="inlineStr">
        <is>
          <t>組立不要・両開き扉で出し入れが楽</t>
        </is>
      </c>
      <c r="D7" s="28" t="inlineStr">
        <is>
          <t>—</t>
        </is>
      </c>
      <c r="E7" s="15" t="inlineStr">
        <is>
          <t>組立式でも工具不要・10分組立を目標（動画付き）</t>
        </is>
      </c>
      <c r="F7" s="18" t="inlineStr">
        <is>
          <t>https://my-best.com/24506</t>
        </is>
      </c>
      <c r="G7" s="15" t="inlineStr">
        <is>
          <t>Web検索の要約（本文未閲覧）</t>
        </is>
      </c>
    </row>
    <row r="8" ht="42" customHeight="1">
      <c r="A8" s="14" t="inlineStr">
        <is>
          <t>大型宅配ボックス</t>
        </is>
      </c>
      <c r="B8" s="27" t="inlineStr">
        <is>
          <t>高評価</t>
        </is>
      </c>
      <c r="C8" s="15" t="inlineStr">
        <is>
          <t>印鑑ホルダー・シリンダープッシュ錠で非対面受取ができる</t>
        </is>
      </c>
      <c r="D8" s="28" t="inlineStr">
        <is>
          <t>—</t>
        </is>
      </c>
      <c r="E8" s="15" t="inlineStr">
        <is>
          <t>印鑑ホルダー標準装備</t>
        </is>
      </c>
      <c r="F8" s="18" t="inlineStr">
        <is>
          <t>https://360life.shinyusha.co.jp/articles/-/51199</t>
        </is>
      </c>
      <c r="G8" s="15" t="inlineStr">
        <is>
          <t>Web検索の要約（本文未閲覧）</t>
        </is>
      </c>
    </row>
    <row r="9" ht="42" customHeight="1">
      <c r="A9" s="14" t="inlineStr">
        <is>
          <t>大型宅配ボックス</t>
        </is>
      </c>
      <c r="B9" s="28" t="inlineStr">
        <is>
          <t>改善要望</t>
        </is>
      </c>
      <c r="C9" s="15" t="inlineStr">
        <is>
          <t>軽い本体ごと持ち去られる／アンカーで固定しないと不安</t>
        </is>
      </c>
      <c r="D9" s="29" t="inlineStr">
        <is>
          <t>高</t>
        </is>
      </c>
      <c r="E9" s="15" t="inlineStr">
        <is>
          <t>アンカーボルト＋ワイヤーの固定キット同梱</t>
        </is>
      </c>
      <c r="F9" s="18" t="inlineStr">
        <is>
          <t>https://www.alsok.co.jp/person/recommend/2020/</t>
        </is>
      </c>
      <c r="G9" s="15" t="inlineStr">
        <is>
          <t>Web検索の要約（本文未閲覧）</t>
        </is>
      </c>
    </row>
    <row r="10" ht="42" customHeight="1">
      <c r="A10" s="14" t="inlineStr">
        <is>
          <t>大型宅配ボックス</t>
        </is>
      </c>
      <c r="B10" s="28" t="inlineStr">
        <is>
          <t>改善要望</t>
        </is>
      </c>
      <c r="C10" s="15" t="inlineStr">
        <is>
          <t>南京錠は破られやすい・ダイヤル番号を推測される</t>
        </is>
      </c>
      <c r="D10" s="29" t="inlineStr">
        <is>
          <t>高</t>
        </is>
      </c>
      <c r="E10" s="15" t="inlineStr">
        <is>
          <t>オートリセット式ダイヤル錠＋予備鍵</t>
        </is>
      </c>
      <c r="F10" s="18" t="inlineStr">
        <is>
          <t>https://www.alsok.co.jp/person/recommend/2020/</t>
        </is>
      </c>
      <c r="G10" s="15" t="inlineStr">
        <is>
          <t>Web検索の要約（本文未閲覧）</t>
        </is>
      </c>
    </row>
    <row r="11" ht="42" customHeight="1">
      <c r="A11" s="14" t="inlineStr">
        <is>
          <t>大型宅配ボックス</t>
        </is>
      </c>
      <c r="B11" s="28" t="inlineStr">
        <is>
          <t>改善要望</t>
        </is>
      </c>
      <c r="C11" s="15" t="inlineStr">
        <is>
          <t>傷から錆びる、鍵部が雨で錆びる・電子錠の故障</t>
        </is>
      </c>
      <c r="D11" s="29" t="inlineStr">
        <is>
          <t>高</t>
        </is>
      </c>
      <c r="E11" s="15" t="inlineStr">
        <is>
          <t>厚膜粉体塗装・ステンレス蝶番、機械式錠</t>
        </is>
      </c>
      <c r="F11" s="18" t="inlineStr">
        <is>
          <t>https://www.alsok.co.jp/person/recommend/2020/</t>
        </is>
      </c>
      <c r="G11" s="15" t="inlineStr">
        <is>
          <t>Web検索の要約（本文未閲覧）</t>
        </is>
      </c>
    </row>
    <row r="12" ht="42" customHeight="1">
      <c r="A12" s="14" t="inlineStr">
        <is>
          <t>大型宅配ボックス</t>
        </is>
      </c>
      <c r="B12" s="28" t="inlineStr">
        <is>
          <t>改善要望</t>
        </is>
      </c>
      <c r="C12" s="15" t="inlineStr">
        <is>
          <t>設置スペース・固定工事の手間</t>
        </is>
      </c>
      <c r="D12" s="28" t="inlineStr">
        <is>
          <t>中</t>
        </is>
      </c>
      <c r="E12" s="15" t="inlineStr">
        <is>
          <t>設置寸法シートと固定方法の動画</t>
        </is>
      </c>
      <c r="F12" s="18" t="inlineStr">
        <is>
          <t>https://exterior100.lixil.co.jp/articles/37/</t>
        </is>
      </c>
      <c r="G12" s="15" t="inlineStr">
        <is>
          <t>Web検索の要約（本文未閲覧）</t>
        </is>
      </c>
    </row>
    <row r="13" ht="42" customHeight="1">
      <c r="A13" s="14" t="inlineStr">
        <is>
          <t>大型猫用キャットタワー</t>
        </is>
      </c>
      <c r="B13" s="27" t="inlineStr">
        <is>
          <t>高評価</t>
        </is>
      </c>
      <c r="C13" s="15" t="inlineStr">
        <is>
          <t>重くどっしりして、6kgのメインクーン2匹が暴れても安定</t>
        </is>
      </c>
      <c r="D13" s="28" t="inlineStr">
        <is>
          <t>—</t>
        </is>
      </c>
      <c r="E13" s="15" t="inlineStr">
        <is>
          <t>重量ベース（70×50cm）を最大の訴求点に</t>
        </is>
      </c>
      <c r="F13" s="18" t="inlineStr">
        <is>
          <t>https://my-best.com/14984</t>
        </is>
      </c>
      <c r="G13" s="15" t="inlineStr">
        <is>
          <t>Web検索の要約（本文未閲覧）</t>
        </is>
      </c>
    </row>
    <row r="14" ht="42" customHeight="1">
      <c r="A14" s="14" t="inlineStr">
        <is>
          <t>大型猫用キャットタワー</t>
        </is>
      </c>
      <c r="B14" s="27" t="inlineStr">
        <is>
          <t>高評価</t>
        </is>
      </c>
      <c r="C14" s="15" t="inlineStr">
        <is>
          <t>転倒防止帯付き、ベッド・ハンモックが外して洗える</t>
        </is>
      </c>
      <c r="D14" s="28" t="inlineStr">
        <is>
          <t>—</t>
        </is>
      </c>
      <c r="E14" s="15" t="inlineStr">
        <is>
          <t>固定キット・洗えるカバーを標準装備</t>
        </is>
      </c>
      <c r="F14" s="18" t="inlineStr">
        <is>
          <t>https://my-best.com/14984</t>
        </is>
      </c>
      <c r="G14" s="15" t="inlineStr">
        <is>
          <t>Web検索の要約（本文未閲覧）</t>
        </is>
      </c>
    </row>
    <row r="15" ht="42" customHeight="1">
      <c r="A15" s="14" t="inlineStr">
        <is>
          <t>大型猫用キャットタワー</t>
        </is>
      </c>
      <c r="B15" s="27" t="inlineStr">
        <is>
          <t>高評価</t>
        </is>
      </c>
      <c r="C15" s="15" t="inlineStr">
        <is>
          <t>太い爪とぎポールが多い（直径30/35cmの大型・特大型）</t>
        </is>
      </c>
      <c r="D15" s="28" t="inlineStr">
        <is>
          <t>—</t>
        </is>
      </c>
      <c r="E15" s="15" t="inlineStr">
        <is>
          <t>支柱Φ12cm以上</t>
        </is>
      </c>
      <c r="F15" s="18" t="inlineStr">
        <is>
          <t>https://my-best.com/14984</t>
        </is>
      </c>
      <c r="G15" s="15" t="inlineStr">
        <is>
          <t>Web検索の要約（本文未閲覧）</t>
        </is>
      </c>
    </row>
    <row r="16" ht="42" customHeight="1">
      <c r="A16" s="14" t="inlineStr">
        <is>
          <t>大型猫用キャットタワー</t>
        </is>
      </c>
      <c r="B16" s="28" t="inlineStr">
        <is>
          <t>改善要望</t>
        </is>
      </c>
      <c r="C16" s="15" t="inlineStr">
        <is>
          <t>据え置きは揺れる→台座に重り・壁寄せ・増し締めで自衛</t>
        </is>
      </c>
      <c r="D16" s="29" t="inlineStr">
        <is>
          <t>高</t>
        </is>
      </c>
      <c r="E16" s="15" t="inlineStr">
        <is>
          <t>重量ベース＋壁固定金具＋増し締めガイド</t>
        </is>
      </c>
      <c r="F16" s="18" t="inlineStr">
        <is>
          <t>https://harukurage.com/84.html</t>
        </is>
      </c>
      <c r="G16" s="15" t="inlineStr">
        <is>
          <t>Web検索の要約（本文未閲覧）</t>
        </is>
      </c>
    </row>
    <row r="17" ht="42" customHeight="1">
      <c r="A17" s="14" t="inlineStr">
        <is>
          <t>大型猫用キャットタワー</t>
        </is>
      </c>
      <c r="B17" s="28" t="inlineStr">
        <is>
          <t>改善要望</t>
        </is>
      </c>
      <c r="C17" s="15" t="inlineStr">
        <is>
          <t>固定ネジが緩むと飛び乗った際に転倒の危険</t>
        </is>
      </c>
      <c r="D17" s="29" t="inlineStr">
        <is>
          <t>高</t>
        </is>
      </c>
      <c r="E17" s="15" t="inlineStr">
        <is>
          <t>緩み止めナット・ワッシャー採用</t>
        </is>
      </c>
      <c r="F17" s="18" t="inlineStr">
        <is>
          <t>https://note.com/neko_no_wa222/n/n16055c4a6d6f</t>
        </is>
      </c>
      <c r="G17" s="15" t="inlineStr">
        <is>
          <t>Web検索の要約（本文未閲覧）</t>
        </is>
      </c>
    </row>
    <row r="18" ht="42" customHeight="1">
      <c r="A18" s="14" t="inlineStr">
        <is>
          <t>大型猫用キャットタワー</t>
        </is>
      </c>
      <c r="B18" s="28" t="inlineStr">
        <is>
          <t>改善要望</t>
        </is>
      </c>
      <c r="C18" s="15" t="inlineStr">
        <is>
          <t>爪とぎの麻がボロボロになる（交換したい）</t>
        </is>
      </c>
      <c r="D18" s="28" t="inlineStr">
        <is>
          <t>中</t>
        </is>
      </c>
      <c r="E18" s="15" t="inlineStr">
        <is>
          <t>交換用麻スリーブを単品販売</t>
        </is>
      </c>
      <c r="F18" s="18" t="inlineStr">
        <is>
          <t>https://www.nolepen.com/entry/repair-cattower</t>
        </is>
      </c>
      <c r="G18" s="15" t="inlineStr">
        <is>
          <t>Web検索の要約（本文未閲覧）</t>
        </is>
      </c>
    </row>
    <row r="19" ht="42" customHeight="1">
      <c r="A19" s="14" t="inlineStr">
        <is>
          <t>大型猫用キャットタワー</t>
        </is>
      </c>
      <c r="B19" s="28" t="inlineStr">
        <is>
          <t>改善要望</t>
        </is>
      </c>
      <c r="C19" s="15" t="inlineStr">
        <is>
          <t>届いた段ボールが非常に重い</t>
        </is>
      </c>
      <c r="D19" s="28" t="inlineStr">
        <is>
          <t>中</t>
        </is>
      </c>
      <c r="E19" s="15" t="inlineStr">
        <is>
          <t>2梱包化・持ち手付き外箱</t>
        </is>
      </c>
      <c r="F19" s="18" t="inlineStr">
        <is>
          <t>https://my-best.com/14984</t>
        </is>
      </c>
      <c r="G19" s="15" t="inlineStr">
        <is>
          <t>Web検索の要約（本文未閲覧）</t>
        </is>
      </c>
    </row>
    <row r="20" ht="42" customHeight="1">
      <c r="A20" s="14" t="inlineStr">
        <is>
          <t>ゴルフバッグ2台収納ラック</t>
        </is>
      </c>
      <c r="B20" s="27" t="inlineStr">
        <is>
          <t>高評価</t>
        </is>
      </c>
      <c r="C20" s="15" t="inlineStr">
        <is>
          <t>バッグを2つ置いてもグラつかない、前後の転倒防止バー</t>
        </is>
      </c>
      <c r="D20" s="28" t="inlineStr">
        <is>
          <t>—</t>
        </is>
      </c>
      <c r="E20" s="15" t="inlineStr">
        <is>
          <t>転倒防止バー＋固定ベルト</t>
        </is>
      </c>
      <c r="F20" s="18" t="inlineStr">
        <is>
          <t>https://store.shopping.yahoo.co.jp/masuda-shop/ms142310.html</t>
        </is>
      </c>
      <c r="G20" s="15" t="inlineStr">
        <is>
          <t>Web検索の要約（本文未閲覧）</t>
        </is>
      </c>
    </row>
    <row r="21" ht="42" customHeight="1">
      <c r="A21" s="14" t="inlineStr">
        <is>
          <t>ゴルフバッグ2台収納ラック</t>
        </is>
      </c>
      <c r="B21" s="27" t="inlineStr">
        <is>
          <t>高評価</t>
        </is>
      </c>
      <c r="C21" s="15" t="inlineStr">
        <is>
          <t>組立後、バッグや小物までスッキリ片付く</t>
        </is>
      </c>
      <c r="D21" s="28" t="inlineStr">
        <is>
          <t>—</t>
        </is>
      </c>
      <c r="E21" s="15" t="inlineStr">
        <is>
          <t>シューズ棚・小物フックを標準に</t>
        </is>
      </c>
      <c r="F21" s="18" t="inlineStr">
        <is>
          <t>https://store.shopping.yahoo.co.jp/discount-spirits2/000000133189.html</t>
        </is>
      </c>
      <c r="G21" s="15" t="inlineStr">
        <is>
          <t>Web検索の要約（本文未閲覧）</t>
        </is>
      </c>
    </row>
    <row r="22" ht="42" customHeight="1">
      <c r="A22" s="14" t="inlineStr">
        <is>
          <t>ゴルフバッグ2台収納ラック</t>
        </is>
      </c>
      <c r="B22" s="28" t="inlineStr">
        <is>
          <t>改善要望</t>
        </is>
      </c>
      <c r="C22" s="15" t="inlineStr">
        <is>
          <t>口コミを見て品質のばらつきが不安</t>
        </is>
      </c>
      <c r="D22" s="28" t="inlineStr">
        <is>
          <t>中</t>
        </is>
      </c>
      <c r="E22" s="15" t="inlineStr">
        <is>
          <t>出荷前検品基準（溶接・塗装）と保証</t>
        </is>
      </c>
      <c r="F22" s="18" t="inlineStr">
        <is>
          <t>https://store.shopping.yahoo.co.jp/discount-spirits2/000000133189.html</t>
        </is>
      </c>
      <c r="G22" s="15" t="inlineStr">
        <is>
          <t>Web検索の要約（本文未閲覧）</t>
        </is>
      </c>
    </row>
    <row r="23" ht="42" customHeight="1">
      <c r="A23" s="14" t="inlineStr">
        <is>
          <t>ゴルフバッグ2台収納ラック</t>
        </is>
      </c>
      <c r="B23" s="28" t="inlineStr">
        <is>
          <t>改善要望</t>
        </is>
      </c>
      <c r="C23" s="15" t="inlineStr">
        <is>
          <t>（一般傾向・要Amazon精読）泥や芝で床が汚れる</t>
        </is>
      </c>
      <c r="D23" s="28" t="inlineStr">
        <is>
          <t>中</t>
        </is>
      </c>
      <c r="E23" s="15" t="inlineStr">
        <is>
          <t>外して洗える泥受けトレー</t>
        </is>
      </c>
      <c r="F23" s="15" t="inlineStr">
        <is>
          <t>要確認</t>
        </is>
      </c>
      <c r="G23" s="15" t="inlineStr">
        <is>
          <t>Amazonレビュー精読が必要</t>
        </is>
      </c>
    </row>
    <row r="24" ht="42" customHeight="1">
      <c r="A24" s="14" t="inlineStr">
        <is>
          <t>自転車2台スタンド</t>
        </is>
      </c>
      <c r="B24" s="27" t="inlineStr">
        <is>
          <t>高評価</t>
        </is>
      </c>
      <c r="C24" s="15" t="inlineStr">
        <is>
          <t>ロードバイク2台を掛けてもぐらつかず安定</t>
        </is>
      </c>
      <c r="D24" s="28" t="inlineStr">
        <is>
          <t>—</t>
        </is>
      </c>
      <c r="E24" s="15" t="inlineStr">
        <is>
          <t>重量ベースの自立式</t>
        </is>
      </c>
      <c r="F24" s="18" t="inlineStr">
        <is>
          <t>https://store.shopping.yahoo.co.jp/adachiseisakusyo/1530.html</t>
        </is>
      </c>
      <c r="G24" s="15" t="inlineStr">
        <is>
          <t>Web検索の要約（本文未閲覧）</t>
        </is>
      </c>
    </row>
    <row r="25" ht="42" customHeight="1">
      <c r="A25" s="14" t="inlineStr">
        <is>
          <t>自転車2台スタンド</t>
        </is>
      </c>
      <c r="B25" s="27" t="inlineStr">
        <is>
          <t>高評価</t>
        </is>
      </c>
      <c r="C25" s="15" t="inlineStr">
        <is>
          <t>日本製らしく安っぽいパーツがない、シンプル</t>
        </is>
      </c>
      <c r="D25" s="28" t="inlineStr">
        <is>
          <t>—</t>
        </is>
      </c>
      <c r="E25" s="15" t="inlineStr">
        <is>
          <t>金属パーツ中心・マット塗装</t>
        </is>
      </c>
      <c r="F25" s="18" t="inlineStr">
        <is>
          <t>https://store.shopping.yahoo.co.jp/adachiseisakusyo/2434.html</t>
        </is>
      </c>
      <c r="G25" s="15" t="inlineStr">
        <is>
          <t>Web検索の要約（本文未閲覧）</t>
        </is>
      </c>
    </row>
    <row r="26" ht="42" customHeight="1">
      <c r="A26" s="14" t="inlineStr">
        <is>
          <t>自転車2台スタンド</t>
        </is>
      </c>
      <c r="B26" s="28" t="inlineStr">
        <is>
          <t>改善要望</t>
        </is>
      </c>
      <c r="C26" s="15" t="inlineStr">
        <is>
          <t>突っ張り式は天井が高すぎる・弱いと使えない</t>
        </is>
      </c>
      <c r="D26" s="29" t="inlineStr">
        <is>
          <t>高</t>
        </is>
      </c>
      <c r="E26" s="15" t="inlineStr">
        <is>
          <t>天井に依存しない自立式</t>
        </is>
      </c>
      <c r="F26" s="18" t="inlineStr">
        <is>
          <t>https://tabi-rin.com/archives/article/45659</t>
        </is>
      </c>
      <c r="G26" s="15" t="inlineStr">
        <is>
          <t>Web検索の要約（本文未閲覧）</t>
        </is>
      </c>
    </row>
    <row r="27" ht="42" customHeight="1">
      <c r="A27" s="14" t="inlineStr">
        <is>
          <t>自転車2台スタンド</t>
        </is>
      </c>
      <c r="B27" s="28" t="inlineStr">
        <is>
          <t>改善要望</t>
        </is>
      </c>
      <c r="C27" s="15" t="inlineStr">
        <is>
          <t>フックの高さ・幅が車種に合わない</t>
        </is>
      </c>
      <c r="D27" s="28" t="inlineStr">
        <is>
          <t>中</t>
        </is>
      </c>
      <c r="E27" s="15" t="inlineStr">
        <is>
          <t>無段階調整フック＋適合車種表</t>
        </is>
      </c>
      <c r="F27" s="18" t="inlineStr">
        <is>
          <t>https://tacklenote.jp/columns/2-road-bike-stands/</t>
        </is>
      </c>
      <c r="G27" s="15" t="inlineStr">
        <is>
          <t>Web検索の要約（本文未閲覧）</t>
        </is>
      </c>
    </row>
    <row r="28" ht="42" customHeight="1">
      <c r="A28" s="14" t="inlineStr">
        <is>
          <t>A3複合機対応プリンターワゴン</t>
        </is>
      </c>
      <c r="B28" s="27" t="inlineStr">
        <is>
          <t>高評価</t>
        </is>
      </c>
      <c r="C28" s="15" t="inlineStr">
        <is>
          <t>組立20分程度、約25kgの複合機でも強度に問題なし</t>
        </is>
      </c>
      <c r="D28" s="28" t="inlineStr">
        <is>
          <t>—</t>
        </is>
      </c>
      <c r="E28" s="15" t="inlineStr">
        <is>
          <t>天板耐荷重60kg表示</t>
        </is>
      </c>
      <c r="F28" s="18" t="inlineStr">
        <is>
          <t>https://my-best.com/31335</t>
        </is>
      </c>
      <c r="G28" s="15" t="inlineStr">
        <is>
          <t>Web検索の要約（本文未閲覧）</t>
        </is>
      </c>
    </row>
    <row r="29" ht="42" customHeight="1">
      <c r="A29" s="14" t="inlineStr">
        <is>
          <t>A3複合機対応プリンターワゴン</t>
        </is>
      </c>
      <c r="B29" s="27" t="inlineStr">
        <is>
          <t>高評価</t>
        </is>
      </c>
      <c r="C29" s="15" t="inlineStr">
        <is>
          <t>全キャスターにストッパー、棚を5cm間隔で調整</t>
        </is>
      </c>
      <c r="D29" s="28" t="inlineStr">
        <is>
          <t>—</t>
        </is>
      </c>
      <c r="E29" s="15" t="inlineStr">
        <is>
          <t>全輪ストッパー・8段調整を継承</t>
        </is>
      </c>
      <c r="F29" s="18" t="inlineStr">
        <is>
          <t>https://my-best.com/31335</t>
        </is>
      </c>
      <c r="G29" s="15" t="inlineStr">
        <is>
          <t>Web検索の要約（本文未閲覧）</t>
        </is>
      </c>
    </row>
    <row r="30" ht="42" customHeight="1">
      <c r="A30" s="14" t="inlineStr">
        <is>
          <t>A3複合機対応プリンターワゴン</t>
        </is>
      </c>
      <c r="B30" s="28" t="inlineStr">
        <is>
          <t>改善要望</t>
        </is>
      </c>
      <c r="C30" s="15" t="inlineStr">
        <is>
          <t>複合機の印刷中に揺れる</t>
        </is>
      </c>
      <c r="D30" s="29" t="inlineStr">
        <is>
          <t>高</t>
        </is>
      </c>
      <c r="E30" s="15" t="inlineStr">
        <is>
          <t>背面パネル＋筋交い</t>
        </is>
      </c>
      <c r="F30" s="18" t="inlineStr">
        <is>
          <t>https://my-best.com/31335</t>
        </is>
      </c>
      <c r="G30" s="15" t="inlineStr">
        <is>
          <t>Web検索の要約（本文未閲覧）</t>
        </is>
      </c>
    </row>
    <row r="31" ht="42" customHeight="1">
      <c r="A31" s="14" t="inlineStr">
        <is>
          <t>A3複合機対応プリンターワゴン</t>
        </is>
      </c>
      <c r="B31" s="28" t="inlineStr">
        <is>
          <t>改善要望</t>
        </is>
      </c>
      <c r="C31" s="15" t="inlineStr">
        <is>
          <t>天板が直角に留まらない等の部材精度の悪さ</t>
        </is>
      </c>
      <c r="D31" s="29" t="inlineStr">
        <is>
          <t>高</t>
        </is>
      </c>
      <c r="E31" s="15" t="inlineStr">
        <is>
          <t>穴位置精度の検品基準・予備ネジ</t>
        </is>
      </c>
      <c r="F31" s="18" t="inlineStr">
        <is>
          <t>https://www.amazon.co.jp/dp/B0DCMV6DKF</t>
        </is>
      </c>
      <c r="G31" s="15" t="inlineStr">
        <is>
          <t>Web検索の要約（本文未閲覧）</t>
        </is>
      </c>
    </row>
    <row r="32" ht="42" customHeight="1">
      <c r="A32" s="14" t="inlineStr">
        <is>
          <t>洗濯機上ランドリーラック</t>
        </is>
      </c>
      <c r="B32" s="27" t="inlineStr">
        <is>
          <t>高評価</t>
        </is>
      </c>
      <c r="C32" s="15" t="inlineStr">
        <is>
          <t>大型洗濯機に対応、防水パンと床を跨いで設置できる、組立が簡単</t>
        </is>
      </c>
      <c r="D32" s="28" t="inlineStr">
        <is>
          <t>—</t>
        </is>
      </c>
      <c r="E32" s="15" t="inlineStr">
        <is>
          <t>幅伸縮＋跨ぎ設置を継承</t>
        </is>
      </c>
      <c r="F32" s="18" t="inlineStr">
        <is>
          <t>https://www.amazon.co.jp/dp/B07Q51GGGB</t>
        </is>
      </c>
      <c r="G32" s="15" t="inlineStr">
        <is>
          <t>Web検索の要約（本文未閲覧）</t>
        </is>
      </c>
    </row>
    <row r="33" ht="42" customHeight="1">
      <c r="A33" s="14" t="inlineStr">
        <is>
          <t>洗濯機上ランドリーラック</t>
        </is>
      </c>
      <c r="B33" s="27" t="inlineStr">
        <is>
          <t>高評価</t>
        </is>
      </c>
      <c r="C33" s="15" t="inlineStr">
        <is>
          <t>筋交い構造で重いものを載せてもぐらつきにくい</t>
        </is>
      </c>
      <c r="D33" s="28" t="inlineStr">
        <is>
          <t>—</t>
        </is>
      </c>
      <c r="E33" s="15" t="inlineStr">
        <is>
          <t>筋交い標準</t>
        </is>
      </c>
      <c r="F33" s="18" t="inlineStr">
        <is>
          <t>https://search.kakaku.com/%E3%82%A2%E3%82%A4%E3%83%AA%E3%82%B9%E3%82%AA%E3%83%BC%E3%83%A4%E3%83%9E%20%E3%83%A9%E3%83%B3%E3%83%89%E3%83%AA%E3%83%BC%E3%83%A9%E3%83%83%E3%82%AF/</t>
        </is>
      </c>
      <c r="G33" s="15" t="inlineStr">
        <is>
          <t>Web検索の要約（本文未閲覧）</t>
        </is>
      </c>
    </row>
    <row r="34" ht="42" customHeight="1">
      <c r="A34" s="14" t="inlineStr">
        <is>
          <t>洗濯機上ランドリーラック</t>
        </is>
      </c>
      <c r="B34" s="28" t="inlineStr">
        <is>
          <t>改善要望</t>
        </is>
      </c>
      <c r="C34" s="15" t="inlineStr">
        <is>
          <t>蛇口に当たって設置できない・ホースが無理な角度になる</t>
        </is>
      </c>
      <c r="D34" s="29" t="inlineStr">
        <is>
          <t>高</t>
        </is>
      </c>
      <c r="E34" s="15" t="inlineStr">
        <is>
          <t>オフセット棚（棚位置を左右にずらせる）</t>
        </is>
      </c>
      <c r="F34" s="18" t="inlineStr">
        <is>
          <t>https://www.dinos.co.jp/furniture_s/column/water_area_storage/05/</t>
        </is>
      </c>
      <c r="G34" s="15" t="inlineStr">
        <is>
          <t>Web検索の要約（本文未閲覧）</t>
        </is>
      </c>
    </row>
    <row r="35" ht="42" customHeight="1">
      <c r="A35" s="14" t="inlineStr">
        <is>
          <t>洗濯機上ランドリーラック</t>
        </is>
      </c>
      <c r="B35" s="28" t="inlineStr">
        <is>
          <t>改善要望</t>
        </is>
      </c>
      <c r="C35" s="15" t="inlineStr">
        <is>
          <t>脚が防水パンの段差に乗ってぐらつく</t>
        </is>
      </c>
      <c r="D35" s="29" t="inlineStr">
        <is>
          <t>高</t>
        </is>
      </c>
      <c r="E35" s="15" t="inlineStr">
        <is>
          <t>段差用アジャスター脚</t>
        </is>
      </c>
      <c r="F35" s="18" t="inlineStr">
        <is>
          <t>https://www.dinos.co.jp/furniture_s/column/water_area_storage/05/</t>
        </is>
      </c>
      <c r="G35" s="15" t="inlineStr">
        <is>
          <t>Web検索の要約（本文未閲覧）</t>
        </is>
      </c>
    </row>
    <row r="36" ht="42" customHeight="1">
      <c r="A36" s="14" t="inlineStr">
        <is>
          <t>洗濯機上ランドリーラック</t>
        </is>
      </c>
      <c r="B36" s="28" t="inlineStr">
        <is>
          <t>改善要望</t>
        </is>
      </c>
      <c r="C36" s="15" t="inlineStr">
        <is>
          <t>突っ張り部が外れやすい／低い天井（約200cm）で合う製品がない</t>
        </is>
      </c>
      <c r="D36" s="28" t="inlineStr">
        <is>
          <t>中</t>
        </is>
      </c>
      <c r="E36" s="15" t="inlineStr">
        <is>
          <t>天井高190cm〜対応・抜け止め</t>
        </is>
      </c>
      <c r="F36" s="18" t="inlineStr">
        <is>
          <t>https://useful-lifehack.com/entry/laundry-rack</t>
        </is>
      </c>
      <c r="G36" s="15" t="inlineStr">
        <is>
          <t>Web検索の要約（本文未閲覧）</t>
        </is>
      </c>
    </row>
    <row r="37" ht="42" customHeight="1">
      <c r="A37" s="14" t="inlineStr">
        <is>
          <t>ボール収納ワゴン</t>
        </is>
      </c>
      <c r="B37" s="27" t="inlineStr">
        <is>
          <t>高評価</t>
        </is>
      </c>
      <c r="C37" s="15" t="inlineStr">
        <is>
          <t>折りたたみで軽く、持ち運びやすい</t>
        </is>
      </c>
      <c r="D37" s="28" t="inlineStr">
        <is>
          <t>—</t>
        </is>
      </c>
      <c r="E37" s="15" t="inlineStr">
        <is>
          <t>折りたたみ構造を継承</t>
        </is>
      </c>
      <c r="F37" s="18" t="inlineStr">
        <is>
          <t>https://store.shopping.yahoo.co.jp/discount-spirits2/a000000131862-copy.html</t>
        </is>
      </c>
      <c r="G37" s="15" t="inlineStr">
        <is>
          <t>Web検索の要約（本文未閲覧）</t>
        </is>
      </c>
    </row>
    <row r="38" ht="42" customHeight="1">
      <c r="A38" s="14" t="inlineStr">
        <is>
          <t>ボール収納ワゴン</t>
        </is>
      </c>
      <c r="B38" s="28" t="inlineStr">
        <is>
          <t>改善要望</t>
        </is>
      </c>
      <c r="C38" s="15" t="inlineStr">
        <is>
          <t>耐荷重約7kgと低い</t>
        </is>
      </c>
      <c r="D38" s="29" t="inlineStr">
        <is>
          <t>高</t>
        </is>
      </c>
      <c r="E38" s="15" t="inlineStr">
        <is>
          <t>耐荷重15kg以上</t>
        </is>
      </c>
      <c r="F38" s="18" t="inlineStr">
        <is>
          <t>https://store.shopping.yahoo.co.jp/discount-spirits2/a000000131862-copy.html</t>
        </is>
      </c>
      <c r="G38" s="15" t="inlineStr">
        <is>
          <t>Web検索の要約（本文未閲覧）</t>
        </is>
      </c>
    </row>
    <row r="39" ht="42" customHeight="1">
      <c r="A39" s="14" t="inlineStr">
        <is>
          <t>ボール収納ワゴン</t>
        </is>
      </c>
      <c r="B39" s="28" t="inlineStr">
        <is>
          <t>改善要望</t>
        </is>
      </c>
      <c r="C39" s="15" t="inlineStr">
        <is>
          <t>段差や引きずりでキャスターが傷む</t>
        </is>
      </c>
      <c r="D39" s="28" t="inlineStr">
        <is>
          <t>中</t>
        </is>
      </c>
      <c r="E39" s="15" t="inlineStr">
        <is>
          <t>Φ75mmキャスター・2輪ロック</t>
        </is>
      </c>
      <c r="F39" s="18" t="inlineStr">
        <is>
          <t>https://my-best.com/15390</t>
        </is>
      </c>
      <c r="G39" s="15" t="inlineStr">
        <is>
          <t>Web検索の要約（本文未閲覧）</t>
        </is>
      </c>
    </row>
    <row r="40" ht="42" customHeight="1">
      <c r="A40" s="14" t="inlineStr">
        <is>
          <t>サロン収納ワゴン</t>
        </is>
      </c>
      <c r="B40" s="27" t="inlineStr">
        <is>
          <t>高評価</t>
        </is>
      </c>
      <c r="C40" s="15" t="inlineStr">
        <is>
          <t>髪が絡みにくいポールキャスター、ドライヤー・カップホルダーの改良が好評</t>
        </is>
      </c>
      <c r="D40" s="28" t="inlineStr">
        <is>
          <t>—</t>
        </is>
      </c>
      <c r="E40" s="15" t="inlineStr">
        <is>
          <t>業務用機能を標準装備</t>
        </is>
      </c>
      <c r="F40" s="18" t="inlineStr">
        <is>
          <t>https://www.bisella.com/wagon</t>
        </is>
      </c>
      <c r="G40" s="15" t="inlineStr">
        <is>
          <t>Web検索の要約（本文未閲覧）</t>
        </is>
      </c>
    </row>
    <row r="41" ht="42" customHeight="1">
      <c r="A41" s="14" t="inlineStr">
        <is>
          <t>サロン収納ワゴン</t>
        </is>
      </c>
      <c r="B41" s="28" t="inlineStr">
        <is>
          <t>改善要望</t>
        </is>
      </c>
      <c r="C41" s="15" t="inlineStr">
        <is>
          <t>汎用3段ワゴンが¥2,384〜4,980と安い（価格比較される）</t>
        </is>
      </c>
      <c r="D41" s="29" t="inlineStr">
        <is>
          <t>高</t>
        </is>
      </c>
      <c r="E41" s="15" t="inlineStr">
        <is>
          <t>業務用に特化したLPで比較軸をずらす</t>
        </is>
      </c>
      <c r="F41" s="18" t="inlineStr">
        <is>
          <t>https://www.amazon.co.jp/s?k=%E3%83%AF%E3%82%B4%E3%83%B3+%E3%82%AD%E3%83%A3%E3%82%B9%E3%82%BF%E3%83%BC%E4%BB%98%E3%81%8D+3%E6%AE%B5+%E5%BC%95%E3%81%8D%E5%87%BA%E3%81%97</t>
        </is>
      </c>
      <c r="G41" s="15" t="inlineStr">
        <is>
          <t>Web検索の要約（本文未閲覧）</t>
        </is>
      </c>
    </row>
    <row r="42" ht="42" customHeight="1">
      <c r="A42" s="14" t="inlineStr">
        <is>
          <t>サロン収納ワゴン</t>
        </is>
      </c>
      <c r="B42" s="28" t="inlineStr">
        <is>
          <t>改善要望</t>
        </is>
      </c>
      <c r="C42" s="15" t="inlineStr">
        <is>
          <t>（一般傾向・要確認）軽くて倒れやすい</t>
        </is>
      </c>
      <c r="D42" s="28" t="inlineStr">
        <is>
          <t>中</t>
        </is>
      </c>
      <c r="E42" s="15" t="inlineStr">
        <is>
          <t>低重心・脚幅を広く</t>
        </is>
      </c>
      <c r="F42" s="15" t="inlineStr">
        <is>
          <t>要確認</t>
        </is>
      </c>
      <c r="G42" s="15" t="inlineStr">
        <is>
          <t>Amazonレビュー精読が必要</t>
        </is>
      </c>
    </row>
    <row r="43" ht="42" customHeight="1">
      <c r="A43" s="14" t="inlineStr">
        <is>
          <t>（参考）猫トイレ収納キャビネット</t>
        </is>
      </c>
      <c r="B43" s="28" t="inlineStr">
        <is>
          <t>改善要望</t>
        </is>
      </c>
      <c r="C43" s="15" t="inlineStr">
        <is>
          <t>すのこ面積が小さく汚れが溜まる／上から入るタイプは子猫・シニアに不向き／フルカバーはにおいが籠る</t>
        </is>
      </c>
      <c r="D43" s="29" t="inlineStr">
        <is>
          <t>高</t>
        </is>
      </c>
      <c r="E43" s="15" t="inlineStr">
        <is>
          <t>防水トレー・左右入口・換気口</t>
        </is>
      </c>
      <c r="F43" s="18" t="inlineStr">
        <is>
          <t>https://my-best.com/1808</t>
        </is>
      </c>
      <c r="G43" s="15" t="inlineStr">
        <is>
          <t>Web検索の要約（本文未閲覧）</t>
        </is>
      </c>
    </row>
    <row r="44" ht="42" customHeight="1">
      <c r="A44" s="14" t="inlineStr">
        <is>
          <t>（参考）タイヤラック</t>
        </is>
      </c>
      <c r="B44" s="28" t="inlineStr">
        <is>
          <t>改善要望</t>
        </is>
      </c>
      <c r="C44" s="15" t="inlineStr">
        <is>
          <t>カバーが劣化で破れるが交換品が単品で売られていない</t>
        </is>
      </c>
      <c r="D44" s="29" t="inlineStr">
        <is>
          <t>高</t>
        </is>
      </c>
      <c r="E44" s="15" t="inlineStr">
        <is>
          <t>交換カバーの単品販売（本体は不成立でもカバー単品は検討余地）</t>
        </is>
      </c>
      <c r="F44" s="18" t="inlineStr">
        <is>
          <t>https://store.shopping.yahoo.co.jp/petkan/7045887/review/fea2ea80-d2ab-473a-b180-a7bd275a598a/1</t>
        </is>
      </c>
      <c r="G44" s="15" t="inlineStr">
        <is>
          <t>Web検索の要約（本文未閲覧）</t>
        </is>
      </c>
    </row>
    <row r="45" ht="42" customHeight="1">
      <c r="A45" s="14" t="inlineStr">
        <is>
          <t>（参考）屋外ごみ保管ボックス</t>
        </is>
      </c>
      <c r="B45" s="28" t="inlineStr">
        <is>
          <t>改善要望</t>
        </is>
      </c>
      <c r="C45" s="15" t="inlineStr">
        <is>
          <t>カラス・害獣で荒らされる／強風で蓋が飛ぶ・転倒／におい漏れ／錆</t>
        </is>
      </c>
      <c r="D45" s="29" t="inlineStr">
        <is>
          <t>高</t>
        </is>
      </c>
      <c r="E45" s="15" t="inlineStr">
        <is>
          <t>ロック付き蓋・カバーセイバー・パッキン・溶融亜鉛メッキ</t>
        </is>
      </c>
      <c r="F45" s="18" t="inlineStr">
        <is>
          <t>https://www.risu-shop.jp/journal/garbage/1365/</t>
        </is>
      </c>
      <c r="G45" s="15" t="inlineStr">
        <is>
          <t>Web検索の要約（本文未閲覧）</t>
        </is>
      </c>
    </row>
    <row r="46" ht="42" customHeight="1">
      <c r="A46" s="14" t="inlineStr">
        <is>
          <t>（参考）屋外収納ベンチ</t>
        </is>
      </c>
      <c r="B46" s="28" t="inlineStr">
        <is>
          <t>改善要望</t>
        </is>
      </c>
      <c r="C46" s="15" t="inlineStr">
        <is>
          <t>樹脂のたわみ・初期不良、UVで白化・ひび割れ、大雨では完全防水でない</t>
        </is>
      </c>
      <c r="D46" s="28" t="inlineStr">
        <is>
          <t>中</t>
        </is>
      </c>
      <c r="E46" s="15" t="inlineStr">
        <is>
          <t>UV剤配合・リブ補強</t>
        </is>
      </c>
      <c r="F46" s="18" t="inlineStr">
        <is>
          <t>https://rank-king.jp/article/10025</t>
        </is>
      </c>
      <c r="G46" s="15" t="inlineStr">
        <is>
          <t>Web検索の要約（本文未閲覧）</t>
        </is>
      </c>
    </row>
    <row r="47" ht="42" customHeight="1">
      <c r="A47" s="14" t="inlineStr">
        <is>
          <t>（参考）家具調犬ケージ</t>
        </is>
      </c>
      <c r="B47" s="28" t="inlineStr">
        <is>
          <t>改善要望</t>
        </is>
      </c>
      <c r="C47" s="15" t="inlineStr">
        <is>
          <t>木部を犬がかじる、価格がスチールの3〜10倍、床の傷</t>
        </is>
      </c>
      <c r="D47" s="29" t="inlineStr">
        <is>
          <t>高</t>
        </is>
      </c>
      <c r="E47" s="15" t="inlineStr">
        <is>
          <t>金属エッジ・床保護脚</t>
        </is>
      </c>
      <c r="F47" s="18" t="inlineStr">
        <is>
          <t>https://wanchan.jp/goods/detail/21101</t>
        </is>
      </c>
      <c r="G47" s="15" t="inlineStr">
        <is>
          <t>Web検索の要約（本文未閲覧）</t>
        </is>
      </c>
    </row>
    <row r="48" ht="42" customHeight="1">
      <c r="A48" s="14" t="inlineStr">
        <is>
          <t>（参考）ガレージスチールラック</t>
        </is>
      </c>
      <c r="B48" s="28" t="inlineStr">
        <is>
          <t>改善要望</t>
        </is>
      </c>
      <c r="C48" s="15" t="inlineStr">
        <is>
          <t>はめ込みが甘いと歪む・高いとぐらつく・錆</t>
        </is>
      </c>
      <c r="D48" s="28" t="inlineStr">
        <is>
          <t>中</t>
        </is>
      </c>
      <c r="E48" s="15" t="inlineStr">
        <is>
          <t>組立ガイド・耐震ベルト</t>
        </is>
      </c>
      <c r="F48" s="18" t="inlineStr">
        <is>
          <t>https://perfect-floors.jp/blog/steel-rack/5024/</t>
        </is>
      </c>
      <c r="G48" s="15" t="inlineStr">
        <is>
          <t>Web検索の要約（本文未閲覧）</t>
        </is>
      </c>
    </row>
    <row r="49" ht="42" customHeight="1">
      <c r="A49" s="14" t="inlineStr">
        <is>
          <t>（参考）移動ホワイトボード</t>
        </is>
      </c>
      <c r="B49" s="28" t="inlineStr">
        <is>
          <t>改善要望</t>
        </is>
      </c>
      <c r="C49" s="15" t="inlineStr">
        <is>
          <t>反射防止加工の面は文字が消えにくい</t>
        </is>
      </c>
      <c r="D49" s="28" t="inlineStr">
        <is>
          <t>中</t>
        </is>
      </c>
      <c r="E49" s="15" t="inlineStr">
        <is>
          <t>消去性の高い表面材</t>
        </is>
      </c>
      <c r="F49" s="18" t="inlineStr">
        <is>
          <t>https://my-best.com/16993</t>
        </is>
      </c>
      <c r="G49" s="15" t="inlineStr">
        <is>
          <t>Web検索の要約（本文未閲覧）</t>
        </is>
      </c>
    </row>
    <row r="50" ht="42" customHeight="1">
      <c r="A50" s="14" t="inlineStr">
        <is>
          <t>（参考）工具収納ワゴン</t>
        </is>
      </c>
      <c r="B50" s="28" t="inlineStr">
        <is>
          <t>改善要望</t>
        </is>
      </c>
      <c r="C50" s="15" t="inlineStr">
        <is>
          <t>過積載・段差でキャスター破損、部品が重く2人組立推奨、塗装剥がれ</t>
        </is>
      </c>
      <c r="D50" s="28" t="inlineStr">
        <is>
          <t>中</t>
        </is>
      </c>
      <c r="E50" s="15" t="inlineStr">
        <is>
          <t>キャスター強化・組立ガイド</t>
        </is>
      </c>
      <c r="F50" s="18" t="inlineStr">
        <is>
          <t>https://note.com/calm_tucan2717/n/neb622543d52d</t>
        </is>
      </c>
      <c r="G50" s="15" t="inlineStr">
        <is>
          <t>Web検索の要約（本文未閲覧）</t>
        </is>
      </c>
    </row>
    <row r="51" ht="42" customHeight="1">
      <c r="A51" s="14" t="inlineStr">
        <is>
          <t>（参考）静音ステンレスワゴン</t>
        </is>
      </c>
      <c r="B51" s="28" t="inlineStr">
        <is>
          <t>改善要望</t>
        </is>
      </c>
      <c r="C51" s="15" t="inlineStr">
        <is>
          <t>（選定ポイント）100mm静音キャスター・アジャスターでガタつき防止、塩素系洗剤で錆びる</t>
        </is>
      </c>
      <c r="D51" s="28" t="inlineStr">
        <is>
          <t>中</t>
        </is>
      </c>
      <c r="E51" s="15" t="inlineStr">
        <is>
          <t>100mm静音キャスター＋棚マット＋注意表示</t>
        </is>
      </c>
      <c r="F51" s="18" t="inlineStr">
        <is>
          <t>https://www.monotaro.com/s/q-%E3%82%B9%E3%83%86%E3%83%B3%E3%83%AC%E3%82%B9%E3%83%AF%E3%82%B4%E3%83%B33%E6%AE%B5/</t>
        </is>
      </c>
      <c r="G51" s="15" t="inlineStr">
        <is>
          <t>Web検索の要約（本文未閲覧）</t>
        </is>
      </c>
    </row>
    <row r="52" ht="42" customHeight="1">
      <c r="A52" s="14" t="inlineStr">
        <is>
          <t>（参考）業務用リネン回収カート</t>
        </is>
      </c>
      <c r="B52" s="28" t="inlineStr">
        <is>
          <t>改善要望</t>
        </is>
      </c>
      <c r="C52" s="15" t="inlineStr">
        <is>
          <t>（選定ポイント）客室フロアでの走行音、キャスター・バッグの消耗</t>
        </is>
      </c>
      <c r="D52" s="28" t="inlineStr">
        <is>
          <t>中</t>
        </is>
      </c>
      <c r="E52" s="15" t="inlineStr">
        <is>
          <t>静音キャスター・交換用バッグの継続販売</t>
        </is>
      </c>
      <c r="F52" s="18" t="inlineStr">
        <is>
          <t>https://hanger-ya.com/products/c/000000200/</t>
        </is>
      </c>
      <c r="G52" s="15" t="inlineStr">
        <is>
          <t>Web検索の要約（本文未閲覧）</t>
        </is>
      </c>
    </row>
  </sheetData>
  <autoFilter ref="A4:G52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</hyperlink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3" customWidth="1" min="3" max="3"/>
    <col width="12" customWidth="1" min="4" max="4"/>
    <col width="9" customWidth="1" min="5" max="5"/>
    <col width="13" customWidth="1" min="6" max="6"/>
    <col width="13" customWidth="1" min="7" max="7"/>
    <col width="15" customWidth="1" min="8" max="8"/>
    <col width="30" customWidth="1" min="9" max="9"/>
    <col width="15" customWidth="1" min="10" max="10"/>
    <col width="15" customWidth="1" min="11" max="11"/>
  </cols>
  <sheetData>
    <row r="1">
      <c r="A1" s="1" t="inlineStr">
        <is>
          <t>月利100万円・年商5億円に向けた試算</t>
        </is>
      </c>
    </row>
    <row r="2">
      <c r="A2" s="11" t="inlineStr">
        <is>
          <t>緑字＝リサーチ表の計算結果を参照／青字＝計画値（編集可）。利益は広告・返品・保管・出荷作業控除後、固定費（人件費・サンプル費等）控除前。</t>
        </is>
      </c>
    </row>
    <row r="4">
      <c r="A4" s="4" t="inlineStr">
        <is>
          <t>① 月利100万円に必要な月販（利益率15%以上の8商品）</t>
        </is>
      </c>
    </row>
    <row r="5" ht="36" customHeight="1">
      <c r="A5" s="5" t="inlineStr">
        <is>
          <t>優先順位</t>
        </is>
      </c>
      <c r="B5" s="5" t="inlineStr">
        <is>
          <t>商品名</t>
        </is>
      </c>
      <c r="C5" s="5" t="inlineStr">
        <is>
          <t>販売価格（税込）</t>
        </is>
      </c>
      <c r="D5" s="5" t="inlineStr">
        <is>
          <t>利益（円/個）</t>
        </is>
      </c>
      <c r="E5" s="5" t="inlineStr">
        <is>
          <t>利益率</t>
        </is>
      </c>
      <c r="F5" s="5" t="inlineStr">
        <is>
          <t>月利100万に必要な月販</t>
        </is>
      </c>
      <c r="G5" s="5" t="inlineStr">
        <is>
          <t>想定月販（単品・Amazon）</t>
        </is>
      </c>
      <c r="H5" s="5" t="inlineStr">
        <is>
          <t>到達率</t>
        </is>
      </c>
      <c r="I5" s="5" t="inlineStr">
        <is>
          <t>見立て</t>
        </is>
      </c>
    </row>
    <row r="6" ht="30" customHeight="1">
      <c r="A6" s="30">
        <f>'リサーチ表(15%以上)'!A5</f>
        <v>1</v>
      </c>
      <c r="B6" s="6" t="str">
        <f>'リサーチ表(15%以上)'!B5</f>
        <v>大型宅配ボックス（戸建て・組立式スチール110L）</v>
      </c>
      <c r="C6" s="7">
        <f>'リサーチ表(15%以上)'!J5</f>
        <v>19800</v>
      </c>
      <c r="D6" s="7">
        <f>'リサーチ表(15%以上)'!AJ5</f>
        <v>2764.176</v>
      </c>
      <c r="E6" s="8">
        <f>'リサーチ表(15%以上)'!AK5</f>
        <v>0.153565333333333</v>
      </c>
      <c r="F6" s="9">
        <f>'リサーチ表(15%以上)'!AQ5</f>
        <v>362</v>
      </c>
      <c r="G6" s="9">
        <f>'リサーチ表(15%以上)'!AN5</f>
        <v>250</v>
      </c>
      <c r="H6" s="17">
        <f>IF(ISNUMBER(F6),G6/F6,0)</f>
        <v>0.69060773480663</v>
      </c>
      <c r="I6" s="15" t="str">
        <f>IF(H6&gt;=1,"単品で到達",IF(H6&gt;=0.4,"サイズ・色展開＋楽天/Yahoo!併売で到達圏","単品では困難（補完商品）"))</f>
        <v>サイズ・色展開＋楽天/Yahoo!併売で到達圏</v>
      </c>
    </row>
    <row r="7" ht="30" customHeight="1">
      <c r="A7" s="30">
        <f>'リサーチ表(15%以上)'!A6</f>
        <v>2</v>
      </c>
      <c r="B7" s="6" t="str">
        <f>'リサーチ表(15%以上)'!B6</f>
        <v>大型猫用キャットタワー（180cm・極太支柱・揺れ対策）</v>
      </c>
      <c r="C7" s="7">
        <f>'リサーチ表(15%以上)'!J6</f>
        <v>17980</v>
      </c>
      <c r="D7" s="7">
        <f>'リサーチ表(15%以上)'!AJ6</f>
        <v>2851.22290909091</v>
      </c>
      <c r="E7" s="8">
        <f>'リサーチ表(15%以上)'!AK6</f>
        <v>0.174435216907675</v>
      </c>
      <c r="F7" s="9">
        <f>'リサーチ表(15%以上)'!AQ6</f>
        <v>351</v>
      </c>
      <c r="G7" s="9">
        <f>'リサーチ表(15%以上)'!AN6</f>
        <v>150</v>
      </c>
      <c r="H7" s="17">
        <f>IF(ISNUMBER(F7),G7/F7,0)</f>
        <v>0.427350427350427</v>
      </c>
      <c r="I7" s="15" t="str">
        <f>IF(H7&gt;=1,"単品で到達",IF(H7&gt;=0.4,"サイズ・色展開＋楽天/Yahoo!併売で到達圏","単品では困難（補完商品）"))</f>
        <v>サイズ・色展開＋楽天/Yahoo!併売で到達圏</v>
      </c>
    </row>
    <row r="8" ht="30" customHeight="1">
      <c r="A8" s="30">
        <f>'リサーチ表(15%以上)'!A7</f>
        <v>3</v>
      </c>
      <c r="B8" s="6" t="str">
        <f>'リサーチ表(15%以上)'!B7</f>
        <v>ゴルフバッグ2台収納ラック（固定ベルト・洗える泥受け）</v>
      </c>
      <c r="C8" s="7">
        <f>'リサーチ表(15%以上)'!J7</f>
        <v>12980</v>
      </c>
      <c r="D8" s="7">
        <f>'リサーチ表(15%以上)'!AJ7</f>
        <v>2913.305</v>
      </c>
      <c r="E8" s="8">
        <f>'リサーチ表(15%以上)'!AK7</f>
        <v>0.246890254237288</v>
      </c>
      <c r="F8" s="9">
        <f>'リサーチ表(15%以上)'!AQ7</f>
        <v>344</v>
      </c>
      <c r="G8" s="9">
        <f>'リサーチ表(15%以上)'!AN7</f>
        <v>60</v>
      </c>
      <c r="H8" s="17">
        <f>IF(ISNUMBER(F8),G8/F8,0)</f>
        <v>0.174418604651163</v>
      </c>
      <c r="I8" s="15" t="str">
        <f>IF(H8&gt;=1,"単品で到達",IF(H8&gt;=0.4,"サイズ・色展開＋楽天/Yahoo!併売で到達圏","単品では困難（補完商品）"))</f>
        <v>単品では困難（補完商品）</v>
      </c>
    </row>
    <row r="9" ht="30" customHeight="1">
      <c r="A9" s="30">
        <f>'リサーチ表(15%以上)'!A8</f>
        <v>4</v>
      </c>
      <c r="B9" s="6" t="str">
        <f>'リサーチ表(15%以上)'!B8</f>
        <v>自転車2台スタンド（自立式・室内縦置き）</v>
      </c>
      <c r="C9" s="7">
        <f>'リサーチ表(15%以上)'!J8</f>
        <v>9980</v>
      </c>
      <c r="D9" s="7">
        <f>'リサーチ表(15%以上)'!AJ8</f>
        <v>1728.42545454545</v>
      </c>
      <c r="E9" s="8">
        <f>'リサーチ表(15%以上)'!AK8</f>
        <v>0.190507815631262</v>
      </c>
      <c r="F9" s="9">
        <f>'リサーチ表(15%以上)'!AQ8</f>
        <v>579</v>
      </c>
      <c r="G9" s="9">
        <f>'リサーチ表(15%以上)'!AN8</f>
        <v>100</v>
      </c>
      <c r="H9" s="17">
        <f>IF(ISNUMBER(F9),G9/F9,0)</f>
        <v>0.172711571675302</v>
      </c>
      <c r="I9" s="15" t="str">
        <f>IF(H9&gt;=1,"単品で到達",IF(H9&gt;=0.4,"サイズ・色展開＋楽天/Yahoo!併売で到達圏","単品では困難（補完商品）"))</f>
        <v>単品では困難（補完商品）</v>
      </c>
    </row>
    <row r="10" ht="30" customHeight="1">
      <c r="A10" s="30">
        <f>'リサーチ表(15%以上)'!A9</f>
        <v>5</v>
      </c>
      <c r="B10" s="6" t="str">
        <f>'リサーチ表(15%以上)'!B9</f>
        <v>A3複合機対応プリンターワゴン（横揺れ防止・大径キャスター）</v>
      </c>
      <c r="C10" s="7">
        <f>'リサーチ表(15%以上)'!J9</f>
        <v>10980</v>
      </c>
      <c r="D10" s="7">
        <f>'リサーチ表(15%以上)'!AJ9</f>
        <v>1925.48363636363</v>
      </c>
      <c r="E10" s="8">
        <f>'リサーチ表(15%以上)'!AK9</f>
        <v>0.192899089253187</v>
      </c>
      <c r="F10" s="9">
        <f>'リサーチ表(15%以上)'!AQ9</f>
        <v>520</v>
      </c>
      <c r="G10" s="9">
        <f>'リサーチ表(15%以上)'!AN9</f>
        <v>60</v>
      </c>
      <c r="H10" s="17">
        <f>IF(ISNUMBER(F10),G10/F10,0)</f>
        <v>0.115384615384615</v>
      </c>
      <c r="I10" s="15" t="str">
        <f>IF(H10&gt;=1,"単品で到達",IF(H10&gt;=0.4,"サイズ・色展開＋楽天/Yahoo!併売で到達圏","単品では困難（補完商品）"))</f>
        <v>単品では困難（補完商品）</v>
      </c>
    </row>
    <row r="11" ht="30" customHeight="1">
      <c r="A11" s="30">
        <f>'リサーチ表(15%以上)'!A10</f>
        <v>6</v>
      </c>
      <c r="B11" s="6" t="str">
        <f>'リサーチ表(15%以上)'!B10</f>
        <v>洗濯機上ランドリーラック（蛇口・防水パン干渉ゼロ設計）</v>
      </c>
      <c r="C11" s="7">
        <f>'リサーチ表(15%以上)'!J10</f>
        <v>7980</v>
      </c>
      <c r="D11" s="7">
        <f>'リサーチ表(15%以上)'!AJ10</f>
        <v>1439.53909090909</v>
      </c>
      <c r="E11" s="8">
        <f>'リサーチ表(15%以上)'!AK10</f>
        <v>0.198432706766917</v>
      </c>
      <c r="F11" s="9">
        <f>'リサーチ表(15%以上)'!AQ10</f>
        <v>695</v>
      </c>
      <c r="G11" s="9">
        <f>'リサーチ表(15%以上)'!AN10</f>
        <v>200</v>
      </c>
      <c r="H11" s="17">
        <f>IF(ISNUMBER(F11),G11/F11,0)</f>
        <v>0.287769784172662</v>
      </c>
      <c r="I11" s="15" t="str">
        <f>IF(H11&gt;=1,"単品で到達",IF(H11&gt;=0.4,"サイズ・色展開＋楽天/Yahoo!併売で到達圏","単品では困難（補完商品）"))</f>
        <v>単品では困難（補完商品）</v>
      </c>
    </row>
    <row r="12" ht="30" customHeight="1">
      <c r="A12" s="30">
        <f>'リサーチ表(15%以上)'!A11</f>
        <v>7</v>
      </c>
      <c r="B12" s="6" t="str">
        <f>'リサーチ表(15%以上)'!B11</f>
        <v>ボール収納ワゴン（学校・クラブ向け・キャスター付き）</v>
      </c>
      <c r="C12" s="7">
        <f>'リサーチ表(15%以上)'!J11</f>
        <v>9980</v>
      </c>
      <c r="D12" s="7">
        <f>'リサーチ表(15%以上)'!AJ11</f>
        <v>1660.92545454545</v>
      </c>
      <c r="E12" s="8">
        <f>'リサーチ表(15%以上)'!AK11</f>
        <v>0.183067935871743</v>
      </c>
      <c r="F12" s="9">
        <f>'リサーチ表(15%以上)'!AQ11</f>
        <v>603</v>
      </c>
      <c r="G12" s="9">
        <f>'リサーチ表(15%以上)'!AN11</f>
        <v>40</v>
      </c>
      <c r="H12" s="17">
        <f>IF(ISNUMBER(F12),G12/F12,0)</f>
        <v>0.066334991708126</v>
      </c>
      <c r="I12" s="15" t="str">
        <f>IF(H12&gt;=1,"単品で到達",IF(H12&gt;=0.4,"サイズ・色展開＋楽天/Yahoo!併売で到達圏","単品では困難（補完商品）"))</f>
        <v>単品では困難（補完商品）</v>
      </c>
    </row>
    <row r="13" ht="30" customHeight="1">
      <c r="A13" s="30">
        <f>'リサーチ表(15%以上)'!A12</f>
        <v>8</v>
      </c>
      <c r="B13" s="6" t="str">
        <f>'リサーチ表(15%以上)'!B12</f>
        <v>サロン収納ワゴン（髪が絡まないキャスター・ドライヤーホルダー）</v>
      </c>
      <c r="C13" s="7">
        <f>'リサーチ表(15%以上)'!J12</f>
        <v>7980</v>
      </c>
      <c r="D13" s="7">
        <f>'リサーチ表(15%以上)'!AJ12</f>
        <v>1310.78909090909</v>
      </c>
      <c r="E13" s="8">
        <f>'リサーチ表(15%以上)'!AK12</f>
        <v>0.180685213032581</v>
      </c>
      <c r="F13" s="9">
        <f>'リサーチ表(15%以上)'!AQ12</f>
        <v>763</v>
      </c>
      <c r="G13" s="9">
        <f>'リサーチ表(15%以上)'!AN12</f>
        <v>60</v>
      </c>
      <c r="H13" s="17">
        <f>IF(ISNUMBER(F13),G13/F13,0)</f>
        <v>0.0786369593709043</v>
      </c>
      <c r="I13" s="15" t="str">
        <f>IF(H13&gt;=1,"単品で到達",IF(H13&gt;=0.4,"サイズ・色展開＋楽天/Yahoo!併売で到達圏","単品では困難（補完商品）"))</f>
        <v>単品では困難（補完商品）</v>
      </c>
    </row>
    <row r="16">
      <c r="A16" s="4" t="inlineStr">
        <is>
          <t>② 年商5億円ロードマップ（試算）</t>
        </is>
      </c>
    </row>
    <row r="17">
      <c r="A17" s="31" t="inlineStr">
        <is>
          <t>楽天・Yahoo!併売係数</t>
        </is>
      </c>
      <c r="C17" s="32" t="n">
        <v>1.3</v>
      </c>
      <c r="D17" s="3" t="inlineStr">
        <is>
          <t>Amazon月販に対する全モール合計の倍率（仮定）</t>
        </is>
      </c>
    </row>
    <row r="18">
      <c r="A18" s="31" t="inlineStr">
        <is>
          <t>目標年商（円）</t>
        </is>
      </c>
      <c r="C18" s="19" t="n">
        <v>500000000</v>
      </c>
    </row>
    <row r="19">
      <c r="A19" s="31" t="inlineStr">
        <is>
          <t>目標年収（円）</t>
        </is>
      </c>
      <c r="C19" s="19" t="n">
        <v>50000000</v>
      </c>
    </row>
    <row r="21" ht="36" customHeight="1">
      <c r="A21" s="5" t="inlineStr">
        <is>
          <t>優先順位</t>
        </is>
      </c>
      <c r="B21" s="5" t="inlineStr">
        <is>
          <t>商品名</t>
        </is>
      </c>
      <c r="C21" s="5" t="inlineStr">
        <is>
          <t>販売価格（税込）</t>
        </is>
      </c>
      <c r="D21" s="5" t="inlineStr">
        <is>
          <t>利益（円/個）</t>
        </is>
      </c>
      <c r="E21" s="5" t="inlineStr">
        <is>
          <t>展開SKU数</t>
        </is>
      </c>
      <c r="F21" s="5" t="inlineStr">
        <is>
          <t>1SKUの月販（Amazon）</t>
        </is>
      </c>
      <c r="G21" s="5" t="inlineStr">
        <is>
          <t>月販合計（併売込み）</t>
        </is>
      </c>
      <c r="H21" s="5" t="inlineStr">
        <is>
          <t>月商（税込）</t>
        </is>
      </c>
      <c r="I21" s="5" t="inlineStr">
        <is>
          <t>月利</t>
        </is>
      </c>
      <c r="J21" s="5" t="inlineStr">
        <is>
          <t>年商</t>
        </is>
      </c>
      <c r="K21" s="5" t="inlineStr">
        <is>
          <t>年間利益</t>
        </is>
      </c>
    </row>
    <row r="22" ht="30" customHeight="1">
      <c r="A22" s="30">
        <f>'リサーチ表(15%以上)'!A5</f>
        <v>1</v>
      </c>
      <c r="B22" s="6" t="str">
        <f>'リサーチ表(15%以上)'!B5</f>
        <v>大型宅配ボックス（戸建て・組立式スチール110L）</v>
      </c>
      <c r="C22" s="7">
        <f>'リサーチ表(15%以上)'!J5</f>
        <v>19800</v>
      </c>
      <c r="D22" s="7">
        <f>'リサーチ表(15%以上)'!AJ5</f>
        <v>2764.176</v>
      </c>
      <c r="E22" s="13" t="n">
        <v>3</v>
      </c>
      <c r="F22" s="13" t="n">
        <v>150</v>
      </c>
      <c r="G22" s="22">
        <f>E22*F22*$C$17</f>
        <v>585</v>
      </c>
      <c r="H22" s="24">
        <f>G22*C22</f>
        <v>11583000</v>
      </c>
      <c r="I22" s="24">
        <f>G22*D22</f>
        <v>1617042.96</v>
      </c>
      <c r="J22" s="24">
        <f>H22*12</f>
        <v>138996000</v>
      </c>
      <c r="K22" s="24">
        <f>I22*12</f>
        <v>19404515.52</v>
      </c>
    </row>
    <row r="23" ht="30" customHeight="1">
      <c r="A23" s="30">
        <f>'リサーチ表(15%以上)'!A6</f>
        <v>2</v>
      </c>
      <c r="B23" s="6" t="str">
        <f>'リサーチ表(15%以上)'!B6</f>
        <v>大型猫用キャットタワー（180cm・極太支柱・揺れ対策）</v>
      </c>
      <c r="C23" s="7">
        <f>'リサーチ表(15%以上)'!J6</f>
        <v>17980</v>
      </c>
      <c r="D23" s="7">
        <f>'リサーチ表(15%以上)'!AJ6</f>
        <v>2851.22290909091</v>
      </c>
      <c r="E23" s="13" t="n">
        <v>2</v>
      </c>
      <c r="F23" s="13" t="n">
        <v>150</v>
      </c>
      <c r="G23" s="22">
        <f>E23*F23*$C$17</f>
        <v>390</v>
      </c>
      <c r="H23" s="24">
        <f>G23*C23</f>
        <v>7012200</v>
      </c>
      <c r="I23" s="24">
        <f>G23*D23</f>
        <v>1111976.93454545</v>
      </c>
      <c r="J23" s="24">
        <f>H23*12</f>
        <v>84146400</v>
      </c>
      <c r="K23" s="24">
        <f>I23*12</f>
        <v>13343723.2145455</v>
      </c>
    </row>
    <row r="24" ht="30" customHeight="1">
      <c r="A24" s="30">
        <f>'リサーチ表(15%以上)'!A7</f>
        <v>3</v>
      </c>
      <c r="B24" s="6" t="str">
        <f>'リサーチ表(15%以上)'!B7</f>
        <v>ゴルフバッグ2台収納ラック（固定ベルト・洗える泥受け）</v>
      </c>
      <c r="C24" s="7">
        <f>'リサーチ表(15%以上)'!J7</f>
        <v>12980</v>
      </c>
      <c r="D24" s="7">
        <f>'リサーチ表(15%以上)'!AJ7</f>
        <v>2913.305</v>
      </c>
      <c r="E24" s="13" t="n">
        <v>1</v>
      </c>
      <c r="F24" s="13" t="n">
        <v>100</v>
      </c>
      <c r="G24" s="22">
        <f>E24*F24*$C$17</f>
        <v>130</v>
      </c>
      <c r="H24" s="24">
        <f>G24*C24</f>
        <v>1687400</v>
      </c>
      <c r="I24" s="24">
        <f>G24*D24</f>
        <v>378729.65</v>
      </c>
      <c r="J24" s="24">
        <f>H24*12</f>
        <v>20248800</v>
      </c>
      <c r="K24" s="24">
        <f>I24*12</f>
        <v>4544755.8</v>
      </c>
    </row>
    <row r="25" ht="30" customHeight="1">
      <c r="A25" s="30">
        <f>'リサーチ表(15%以上)'!A8</f>
        <v>4</v>
      </c>
      <c r="B25" s="6" t="str">
        <f>'リサーチ表(15%以上)'!B8</f>
        <v>自転車2台スタンド（自立式・室内縦置き）</v>
      </c>
      <c r="C25" s="7">
        <f>'リサーチ表(15%以上)'!J8</f>
        <v>9980</v>
      </c>
      <c r="D25" s="7">
        <f>'リサーチ表(15%以上)'!AJ8</f>
        <v>1728.42545454545</v>
      </c>
      <c r="E25" s="13" t="n">
        <v>2</v>
      </c>
      <c r="F25" s="13" t="n">
        <v>80</v>
      </c>
      <c r="G25" s="22">
        <f>E25*F25*$C$17</f>
        <v>208</v>
      </c>
      <c r="H25" s="24">
        <f>G25*C25</f>
        <v>2075840</v>
      </c>
      <c r="I25" s="24">
        <f>G25*D25</f>
        <v>359512.494545454</v>
      </c>
      <c r="J25" s="24">
        <f>H25*12</f>
        <v>24910080</v>
      </c>
      <c r="K25" s="24">
        <f>I25*12</f>
        <v>4314149.93454545</v>
      </c>
    </row>
    <row r="26" ht="30" customHeight="1">
      <c r="A26" s="30">
        <f>'リサーチ表(15%以上)'!A9</f>
        <v>5</v>
      </c>
      <c r="B26" s="6" t="str">
        <f>'リサーチ表(15%以上)'!B9</f>
        <v>A3複合機対応プリンターワゴン（横揺れ防止・大径キャスター）</v>
      </c>
      <c r="C26" s="7">
        <f>'リサーチ表(15%以上)'!J9</f>
        <v>10980</v>
      </c>
      <c r="D26" s="7">
        <f>'リサーチ表(15%以上)'!AJ9</f>
        <v>1925.48363636363</v>
      </c>
      <c r="E26" s="13" t="n">
        <v>1</v>
      </c>
      <c r="F26" s="13" t="n">
        <v>100</v>
      </c>
      <c r="G26" s="22">
        <f>E26*F26*$C$17</f>
        <v>130</v>
      </c>
      <c r="H26" s="24">
        <f>G26*C26</f>
        <v>1427400</v>
      </c>
      <c r="I26" s="24">
        <f>G26*D26</f>
        <v>250312.872727272</v>
      </c>
      <c r="J26" s="24">
        <f>H26*12</f>
        <v>17128800</v>
      </c>
      <c r="K26" s="24">
        <f>I26*12</f>
        <v>3003754.47272727</v>
      </c>
    </row>
    <row r="27" ht="30" customHeight="1">
      <c r="A27" s="30">
        <f>'リサーチ表(15%以上)'!A10</f>
        <v>6</v>
      </c>
      <c r="B27" s="6" t="str">
        <f>'リサーチ表(15%以上)'!B10</f>
        <v>洗濯機上ランドリーラック（蛇口・防水パン干渉ゼロ設計）</v>
      </c>
      <c r="C27" s="7">
        <f>'リサーチ表(15%以上)'!J10</f>
        <v>7980</v>
      </c>
      <c r="D27" s="7">
        <f>'リサーチ表(15%以上)'!AJ10</f>
        <v>1439.53909090909</v>
      </c>
      <c r="E27" s="13" t="n">
        <v>2</v>
      </c>
      <c r="F27" s="13" t="n">
        <v>120</v>
      </c>
      <c r="G27" s="22">
        <f>E27*F27*$C$17</f>
        <v>312</v>
      </c>
      <c r="H27" s="24">
        <f>G27*C27</f>
        <v>2489760</v>
      </c>
      <c r="I27" s="24">
        <f>G27*D27</f>
        <v>449136.196363636</v>
      </c>
      <c r="J27" s="24">
        <f>H27*12</f>
        <v>29877120</v>
      </c>
      <c r="K27" s="24">
        <f>I27*12</f>
        <v>5389634.35636363</v>
      </c>
    </row>
    <row r="28" ht="30" customHeight="1">
      <c r="A28" s="30">
        <f>'リサーチ表(15%以上)'!A11</f>
        <v>7</v>
      </c>
      <c r="B28" s="6" t="str">
        <f>'リサーチ表(15%以上)'!B11</f>
        <v>ボール収納ワゴン（学校・クラブ向け・キャスター付き）</v>
      </c>
      <c r="C28" s="7">
        <f>'リサーチ表(15%以上)'!J11</f>
        <v>9980</v>
      </c>
      <c r="D28" s="7">
        <f>'リサーチ表(15%以上)'!AJ11</f>
        <v>1660.92545454545</v>
      </c>
      <c r="E28" s="13" t="n">
        <v>1</v>
      </c>
      <c r="F28" s="13" t="n">
        <v>50</v>
      </c>
      <c r="G28" s="22">
        <f>E28*F28*$C$17</f>
        <v>65</v>
      </c>
      <c r="H28" s="24">
        <f>G28*C28</f>
        <v>648700</v>
      </c>
      <c r="I28" s="24">
        <f>G28*D28</f>
        <v>107960.154545454</v>
      </c>
      <c r="J28" s="24">
        <f>H28*12</f>
        <v>7784400</v>
      </c>
      <c r="K28" s="24">
        <f>I28*12</f>
        <v>1295521.85454545</v>
      </c>
    </row>
    <row r="29" ht="30" customHeight="1">
      <c r="A29" s="30">
        <f>'リサーチ表(15%以上)'!A12</f>
        <v>8</v>
      </c>
      <c r="B29" s="6" t="str">
        <f>'リサーチ表(15%以上)'!B12</f>
        <v>サロン収納ワゴン（髪が絡まないキャスター・ドライヤーホルダー）</v>
      </c>
      <c r="C29" s="7">
        <f>'リサーチ表(15%以上)'!J12</f>
        <v>7980</v>
      </c>
      <c r="D29" s="7">
        <f>'リサーチ表(15%以上)'!AJ12</f>
        <v>1310.78909090909</v>
      </c>
      <c r="E29" s="13" t="n">
        <v>1</v>
      </c>
      <c r="F29" s="13" t="n">
        <v>80</v>
      </c>
      <c r="G29" s="22">
        <f>E29*F29*$C$17</f>
        <v>104</v>
      </c>
      <c r="H29" s="24">
        <f>G29*C29</f>
        <v>829920</v>
      </c>
      <c r="I29" s="24">
        <f>G29*D29</f>
        <v>136322.065454545</v>
      </c>
      <c r="J29" s="24">
        <f>H29*12</f>
        <v>9959040</v>
      </c>
      <c r="K29" s="24">
        <f>I29*12</f>
        <v>1635864.78545454</v>
      </c>
    </row>
    <row r="30">
      <c r="B30" s="31" t="inlineStr">
        <is>
          <t>合計</t>
        </is>
      </c>
      <c r="G30" s="33">
        <f>SUM(G22:G29)</f>
        <v>1924</v>
      </c>
      <c r="H30" s="34">
        <f>SUM(H22:H29)</f>
        <v>27754220</v>
      </c>
      <c r="I30" s="34">
        <f>SUM(I22:I29)</f>
        <v>4410993.32818182</v>
      </c>
      <c r="J30" s="34">
        <f>SUM(J22:J29)</f>
        <v>333050640</v>
      </c>
      <c r="K30" s="34">
        <f>SUM(K22:K29)</f>
        <v>52931919.9381818</v>
      </c>
    </row>
    <row r="31">
      <c r="B31" s="31" t="inlineStr">
        <is>
          <t>目標年商との差（不足分）</t>
        </is>
      </c>
      <c r="J31" s="35">
        <f>C18-J30</f>
        <v>166949360</v>
      </c>
    </row>
    <row r="32">
      <c r="B32" s="31" t="inlineStr">
        <is>
          <t>不足分を月商に換算</t>
        </is>
      </c>
      <c r="H32" s="35">
        <f>MAX(0,J31)/12</f>
        <v>13912446.6666667</v>
      </c>
    </row>
    <row r="33">
      <c r="B33" s="31" t="inlineStr">
        <is>
          <t>年間利益 − 目標年収（固定費控除前）</t>
        </is>
      </c>
      <c r="K33" s="35">
        <f>K30-C19</f>
        <v>2931919.93818179</v>
      </c>
    </row>
    <row r="35">
      <c r="A35" s="11" t="inlineStr">
        <is>
          <t>・8商品＋サイズ/色展開＋併売だけでは年商5億に届かない見込み。不足分は『全40候補』の△条件付き商品（猫トイレ収納・ステンレスワゴン・屋外ごみ保管ボックス等）を天瞳の送料で再試算し、15%を満たしたものから追加する。</t>
        </is>
      </c>
    </row>
    <row r="36">
      <c r="A36" s="11" t="inlineStr">
        <is>
          <t>・月利100万円に最も近いのは大型宅配ボックスと大型猫用キャットタワー（1個あたり利益が大きく、カテゴリの需要も大きい）。単品で100万円を狙うより、2〜3サイズ展開と楽天・Yahoo!併売で到達させる設計が現実的。</t>
        </is>
      </c>
    </row>
    <row r="37">
      <c r="A37" s="11" t="inlineStr">
        <is>
          <t>・想定月販はKeepa／セラースプライトでの実測前の仮置き（データ確度C）。発注前に上位3品の月販を確認し、黄色セルを更新すること。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4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4" customWidth="1" min="4" max="4"/>
    <col width="14" customWidth="1" min="5" max="5"/>
    <col width="9" customWidth="1" min="6" max="6"/>
    <col width="12" customWidth="1" min="7" max="7"/>
    <col width="36" customWidth="1" min="8" max="8"/>
    <col width="11" customWidth="1" min="9" max="9"/>
    <col width="11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6" customWidth="1" min="18" max="18"/>
    <col width="11" customWidth="1" min="19" max="19"/>
    <col width="10" customWidth="1" min="20" max="20"/>
    <col width="7" customWidth="1" min="21" max="21"/>
    <col width="11" customWidth="1" min="22" max="22"/>
    <col width="11" customWidth="1" min="23" max="23"/>
    <col width="11" customWidth="1" min="24" max="24"/>
    <col width="10" customWidth="1" min="25" max="25"/>
    <col width="10" customWidth="1" min="26" max="26"/>
    <col width="9" customWidth="1" min="27" max="27"/>
    <col width="12" customWidth="1" min="28" max="28"/>
    <col width="11" customWidth="1" min="29" max="29"/>
    <col width="12" customWidth="1" min="30" max="30"/>
    <col width="12" customWidth="1" min="31" max="31"/>
    <col width="11" customWidth="1" min="32" max="32"/>
    <col width="60" customWidth="1" min="33" max="33"/>
    <col width="24" customWidth="1" min="34" max="34"/>
    <col width="14" customWidth="1" min="35" max="35"/>
    <col width="14" customWidth="1" min="36" max="36"/>
  </cols>
  <sheetData>
    <row r="1">
      <c r="A1" s="1" t="inlineStr">
        <is>
          <t>全40候補スクリーニング（前回リストの40商品を同一条件で試算）</t>
        </is>
      </c>
    </row>
    <row r="2">
      <c r="A2" s="11" t="inlineStr">
        <is>
          <t>緑字＝『リサーチ表(15%以上)』の入力を参照（厳選8商品はリサーチ表側で編集）。判定：◎＝利益率15%以上／△＝10〜15%（送料・原価しだいで到達）／×＝10%未満。並び順は既定の前提条件での利益率順です。</t>
        </is>
      </c>
    </row>
    <row r="3">
      <c r="A3" s="12" t="inlineStr">
        <is>
          <t>候補・売価</t>
        </is>
      </c>
      <c r="J3" s="12" t="inlineStr">
        <is>
          <t>仕入・梱包・物流</t>
        </is>
      </c>
      <c r="V3" s="12" t="inlineStr">
        <is>
          <t>損益（1個・税抜）</t>
        </is>
      </c>
      <c r="AA3" s="12" t="inlineStr">
        <is>
          <t>月間</t>
        </is>
      </c>
      <c r="AD3" s="12" t="inlineStr">
        <is>
          <t>感応度・判定</t>
        </is>
      </c>
      <c r="AG3" s="12" t="inlineStr">
        <is>
          <t>コメント・リンク</t>
        </is>
      </c>
    </row>
    <row r="4" ht="42" customHeight="1">
      <c r="A4" s="5" t="inlineStr">
        <is>
          <t>順位（利益率順）</t>
        </is>
      </c>
      <c r="B4" s="5" t="inlineStr">
        <is>
          <t>元リストNo</t>
        </is>
      </c>
      <c r="C4" s="5" t="inlineStr">
        <is>
          <t>区分</t>
        </is>
      </c>
      <c r="D4" s="5" t="inlineStr">
        <is>
          <t>商品名</t>
        </is>
      </c>
      <c r="E4" s="5" t="inlineStr">
        <is>
          <t>Amazonカテゴリ</t>
        </is>
      </c>
      <c r="F4" s="5" t="inlineStr">
        <is>
          <t>販売手数料率</t>
        </is>
      </c>
      <c r="G4" s="5" t="inlineStr">
        <is>
          <t>想定販売価格（税込・円）</t>
        </is>
      </c>
      <c r="H4" s="5" t="inlineStr">
        <is>
          <t>価格の根拠（競合価格）</t>
        </is>
      </c>
      <c r="I4" s="5" t="inlineStr">
        <is>
          <t>前回案の目標売価（参考）</t>
        </is>
      </c>
      <c r="J4" s="5" t="inlineStr">
        <is>
          <t>想定仕入単価（元）※推定</t>
        </is>
      </c>
      <c r="K4" s="5" t="inlineStr">
        <is>
          <t>付加価値コスト（円）</t>
        </is>
      </c>
      <c r="L4" s="5" t="inlineStr">
        <is>
          <t>縦(cm)</t>
        </is>
      </c>
      <c r="M4" s="5" t="inlineStr">
        <is>
          <t>横(cm)</t>
        </is>
      </c>
      <c r="N4" s="5" t="inlineStr">
        <is>
          <t>高さ(cm)</t>
        </is>
      </c>
      <c r="O4" s="5" t="inlineStr">
        <is>
          <t>重量(kg)</t>
        </is>
      </c>
      <c r="P4" s="5" t="inlineStr">
        <is>
          <t>3辺合計</t>
        </is>
      </c>
      <c r="Q4" s="5" t="inlineStr">
        <is>
          <t>容積(m³)</t>
        </is>
      </c>
      <c r="R4" s="5" t="inlineStr">
        <is>
          <t>区分No</t>
        </is>
      </c>
      <c r="S4" s="5" t="inlineStr">
        <is>
          <t>国内配送サイズ</t>
        </is>
      </c>
      <c r="T4" s="5" t="inlineStr">
        <is>
          <t>国内送料（円）</t>
        </is>
      </c>
      <c r="U4" s="5" t="inlineStr">
        <is>
          <t>関税率</t>
        </is>
      </c>
      <c r="V4" s="5" t="inlineStr">
        <is>
          <t>着地原価（円）</t>
        </is>
      </c>
      <c r="W4" s="5" t="inlineStr">
        <is>
          <t>税抜売上（円）</t>
        </is>
      </c>
      <c r="X4" s="5" t="inlineStr">
        <is>
          <t>利益（円/個）</t>
        </is>
      </c>
      <c r="Y4" s="5" t="inlineStr">
        <is>
          <t>利益率（税抜売上比）</t>
        </is>
      </c>
      <c r="Z4" s="5" t="inlineStr">
        <is>
          <t>広告前利益率</t>
        </is>
      </c>
      <c r="AA4" s="5" t="inlineStr">
        <is>
          <t>想定月販（個）※推定</t>
        </is>
      </c>
      <c r="AB4" s="5" t="inlineStr">
        <is>
          <t>月利（円）</t>
        </is>
      </c>
      <c r="AC4" s="5" t="inlineStr">
        <is>
          <t>月利100万に必要な月販</t>
        </is>
      </c>
      <c r="AD4" s="5" t="inlineStr">
        <is>
          <t>15%達成の国内送料上限（円）</t>
        </is>
      </c>
      <c r="AE4" s="5" t="inlineStr">
        <is>
          <t>15%達成の仕入単価上限（元）</t>
        </is>
      </c>
      <c r="AF4" s="5" t="inlineStr">
        <is>
          <t>判定</t>
        </is>
      </c>
      <c r="AG4" s="5" t="inlineStr">
        <is>
          <t>判定理由・コメント</t>
        </is>
      </c>
      <c r="AH4" s="5" t="inlineStr">
        <is>
          <t>競合・参考URL</t>
        </is>
      </c>
      <c r="AI4" s="5" t="inlineStr">
        <is>
          <t>1688検索リンク</t>
        </is>
      </c>
      <c r="AJ4" s="5" t="inlineStr">
        <is>
          <t>Amazon検索リンク</t>
        </is>
      </c>
    </row>
    <row r="5" ht="60" customHeight="1">
      <c r="A5" s="28" t="n">
        <v>1</v>
      </c>
      <c r="B5" s="28" t="n">
        <v>2</v>
      </c>
      <c r="C5" s="28" t="inlineStr">
        <is>
          <t>上位10</t>
        </is>
      </c>
      <c r="D5" s="6" t="str">
        <f>'リサーチ表(15%以上)'!B7</f>
        <v>ゴルフバッグ2台収納ラック（固定ベルト・洗える泥受け）</v>
      </c>
      <c r="E5" s="6" t="str">
        <f>'リサーチ表(15%以上)'!D7</f>
        <v>スポーツ&amp;アウトドア</v>
      </c>
      <c r="F5" s="17">
        <f>IFERROR(INDEX('前提条件'!$B$20:$B$28,MATCH(E5,'前提条件'!$A$20:$A$28,0)),'前提条件'!$B$20)</f>
        <v>0.104</v>
      </c>
      <c r="G5" s="7">
        <f>'リサーチ表(15%以上)'!J7</f>
        <v>12980</v>
      </c>
      <c r="H5" s="6" t="str">
        <f>'リサーチ表(15%以上)'!H7</f>
        <v>Bonarca ¥10,900（検索結果の表示価格）</v>
      </c>
      <c r="I5" s="24" t="n">
        <v>15980</v>
      </c>
      <c r="J5" s="36">
        <f>'リサーチ表(15%以上)'!M7</f>
        <v>110</v>
      </c>
      <c r="K5" s="7">
        <f>'リサーチ表(15%以上)'!N7</f>
        <v>400</v>
      </c>
      <c r="L5" s="9">
        <f>'リサーチ表(15%以上)'!O7</f>
        <v>85</v>
      </c>
      <c r="M5" s="9">
        <f>'リサーチ表(15%以上)'!P7</f>
        <v>42</v>
      </c>
      <c r="N5" s="9">
        <f>'リサーチ表(15%以上)'!Q7</f>
        <v>15</v>
      </c>
      <c r="O5" s="37">
        <f>'リサーチ表(15%以上)'!R7</f>
        <v>14</v>
      </c>
      <c r="P5" s="22">
        <f>L5+M5+N5</f>
        <v>142</v>
      </c>
      <c r="Q5" s="23">
        <f>L5*M5*N5/1000000</f>
        <v>0.05355</v>
      </c>
      <c r="R5" s="22">
        <f>MAX(MATCH(P5,'前提条件'!$C$34:$C$46,1),INDEX('前提条件'!$J$34:$J$41,MATCH(O5,'前提条件'!$H$34:$H$41,1)))</f>
        <v>6</v>
      </c>
      <c r="S5" s="15" t="str">
        <f>INDEX('前提条件'!$B$34:$B$46,R5)</f>
        <v>160サイズ</v>
      </c>
      <c r="T5" s="24">
        <f>INDEX('前提条件'!$E$34:$E$46,R5)*'前提条件'!$B$7</f>
        <v>1450</v>
      </c>
      <c r="U5" s="8">
        <f>'リサーチ表(15%以上)'!Y7</f>
        <v>0</v>
      </c>
      <c r="V5" s="24">
        <f>J5*'前提条件'!$B$4*(1+'前提条件'!$B$5)+K5+Q5*'前提条件'!$B$6+(J5*'前提条件'!$B$4*(1+'前提条件'!$B$5)+Q5*'前提条件'!$B$6)*U5</f>
        <v>3893.8</v>
      </c>
      <c r="W5" s="24">
        <f>G5/(1+'前提条件'!$B$13)</f>
        <v>11800</v>
      </c>
      <c r="X5" s="24">
        <f>W5*(1-'前提条件'!$B$8-'前提条件'!$B$9)-G5*F5-T5-Q5*'前提条件'!$B$10*'前提条件'!$B$11-'前提条件'!$B$12-V5</f>
        <v>2913.305</v>
      </c>
      <c r="Y5" s="17">
        <f>IF(W5&gt;0,X5/W5,0)</f>
        <v>0.246890254237288</v>
      </c>
      <c r="Z5" s="17">
        <f>IF(W5&gt;0,(X5+W5*'前提条件'!$B$8)/W5,0)</f>
        <v>0.346890254237288</v>
      </c>
      <c r="AA5" s="9">
        <f>'リサーチ表(15%以上)'!AN7</f>
        <v>60</v>
      </c>
      <c r="AB5" s="24">
        <f>X5*AA5</f>
        <v>174798.3</v>
      </c>
      <c r="AC5" s="22">
        <f>IF(X5&gt;0,ROUNDUP('前提条件'!$B$15/X5,0),"赤字")</f>
        <v>344</v>
      </c>
      <c r="AD5" s="24">
        <f>T5+(X5-'前提条件'!$B$14*W5)</f>
        <v>2593.305</v>
      </c>
      <c r="AE5" s="26">
        <f>J5+(X5-'前提条件'!$B$14*W5)/('前提条件'!$B$4*(1+'前提条件'!$B$5)*(1+U5))</f>
        <v>154.108989197531</v>
      </c>
      <c r="AF5" s="15" t="str">
        <f>IF(Y5&gt;='前提条件'!$B$14,"◎ 15%以上",IF(Y5&gt;='前提条件'!$B$16,"△ 条件付き","× 除外"))</f>
        <v>◎ 15%以上</v>
      </c>
      <c r="AG5" s="15" t="inlineStr">
        <is>
          <t>リサーチ表に掲載（優先順位3）。玄関・ガレージでキャディバッグ2本＋シューズ＋小物を一括収納。『倒れない・床が汚れない』で既存品と差別化</t>
        </is>
      </c>
      <c r="AH5" s="18" t="inlineStr">
        <is>
          <t>https://www.amazon.co.jp/dp/B09TKTDXRQ</t>
        </is>
      </c>
      <c r="AI5" s="18" t="inlineStr">
        <is>
          <t>1688で検索</t>
        </is>
      </c>
      <c r="AJ5" s="18" t="inlineStr">
        <is>
          <t>Amazonで検索</t>
        </is>
      </c>
    </row>
    <row r="6" ht="60" customHeight="1">
      <c r="A6" s="28" t="n">
        <v>2</v>
      </c>
      <c r="B6" s="28" t="n">
        <v>9</v>
      </c>
      <c r="C6" s="28" t="inlineStr">
        <is>
          <t>上位10</t>
        </is>
      </c>
      <c r="D6" s="6" t="str">
        <f>'リサーチ表(15%以上)'!B10</f>
        <v>洗濯機上ランドリーラック（蛇口・防水パン干渉ゼロ設計）</v>
      </c>
      <c r="E6" s="6" t="str">
        <f>'リサーチ表(15%以上)'!D10</f>
        <v>ホーム&amp;キッチン</v>
      </c>
      <c r="F6" s="17">
        <f>IFERROR(INDEX('前提条件'!$B$20:$B$28,MATCH(E6,'前提条件'!$A$20:$A$28,0)),'前提条件'!$B$20)</f>
        <v>0.154</v>
      </c>
      <c r="G6" s="7">
        <f>'リサーチ表(15%以上)'!J10</f>
        <v>7980</v>
      </c>
      <c r="H6" s="6" t="str">
        <f>'リサーチ表(15%以上)'!H10</f>
        <v>価格未確認（大手品は数千円台と推定→当社は上位価格帯を狙う）</v>
      </c>
      <c r="I6" s="24" t="n">
        <v>14980</v>
      </c>
      <c r="J6" s="36">
        <f>'リサーチ表(15%以上)'!M10</f>
        <v>55</v>
      </c>
      <c r="K6" s="7">
        <f>'リサーチ表(15%以上)'!N10</f>
        <v>250</v>
      </c>
      <c r="L6" s="9">
        <f>'リサーチ表(15%以上)'!O10</f>
        <v>95</v>
      </c>
      <c r="M6" s="9">
        <f>'リサーチ表(15%以上)'!P10</f>
        <v>22</v>
      </c>
      <c r="N6" s="9">
        <f>'リサーチ表(15%以上)'!Q10</f>
        <v>10</v>
      </c>
      <c r="O6" s="37">
        <f>'リサーチ表(15%以上)'!R10</f>
        <v>7</v>
      </c>
      <c r="P6" s="22">
        <f>L6+M6+N6</f>
        <v>127</v>
      </c>
      <c r="Q6" s="23">
        <f>L6*M6*N6/1000000</f>
        <v>0.0209</v>
      </c>
      <c r="R6" s="22">
        <f>MAX(MATCH(P6,'前提条件'!$C$34:$C$46,1),INDEX('前提条件'!$J$34:$J$41,MATCH(O6,'前提条件'!$H$34:$H$41,1)))</f>
        <v>5</v>
      </c>
      <c r="S6" s="15" t="str">
        <f>INDEX('前提条件'!$B$34:$B$46,R6)</f>
        <v>140サイズ</v>
      </c>
      <c r="T6" s="24">
        <f>INDEX('前提条件'!$E$34:$E$46,R6)*'前提条件'!$B$7</f>
        <v>1250</v>
      </c>
      <c r="U6" s="8">
        <f>'リサーチ表(15%以上)'!Y10</f>
        <v>0</v>
      </c>
      <c r="V6" s="24">
        <f>J6*'前提条件'!$B$4*(1+'前提条件'!$B$5)+K6+Q6*'前提条件'!$B$6+(J6*'前提条件'!$B$4*(1+'前提条件'!$B$5)+Q6*'前提条件'!$B$6)*U6</f>
        <v>1926.4</v>
      </c>
      <c r="W6" s="24">
        <f>G6/(1+'前提条件'!$B$13)</f>
        <v>7254.54545454545</v>
      </c>
      <c r="X6" s="24">
        <f>W6*(1-'前提条件'!$B$8-'前提条件'!$B$9)-G6*F6-T6-Q6*'前提条件'!$B$10*'前提条件'!$B$11-'前提条件'!$B$12-V6</f>
        <v>1439.53909090909</v>
      </c>
      <c r="Y6" s="17">
        <f>IF(W6&gt;0,X6/W6,0)</f>
        <v>0.198432706766917</v>
      </c>
      <c r="Z6" s="17">
        <f>IF(W6&gt;0,(X6+W6*'前提条件'!$B$8)/W6,0)</f>
        <v>0.298432706766917</v>
      </c>
      <c r="AA6" s="9">
        <f>'リサーチ表(15%以上)'!AN10</f>
        <v>200</v>
      </c>
      <c r="AB6" s="24">
        <f>X6*AA6</f>
        <v>287907.818181818</v>
      </c>
      <c r="AC6" s="22">
        <f>IF(X6&gt;0,ROUNDUP('前提条件'!$B$15/X6,0),"赤字")</f>
        <v>695</v>
      </c>
      <c r="AD6" s="24">
        <f>T6+(X6-'前提条件'!$B$14*W6)</f>
        <v>1601.35727272727</v>
      </c>
      <c r="AE6" s="26">
        <f>J6+(X6-'前提条件'!$B$14*W6)/('前提条件'!$B$4*(1+'前提条件'!$B$5)*(1+U6))</f>
        <v>68.5554503367003</v>
      </c>
      <c r="AF6" s="15" t="str">
        <f>IF(Y6&gt;='前提条件'!$B$14,"◎ 15%以上",IF(Y6&gt;='前提条件'!$B$16,"△ 条件付き","× 除外"))</f>
        <v>◎ 15%以上</v>
      </c>
      <c r="AG6" s="15" t="inlineStr">
        <is>
          <t>リサーチ表に掲載（優先順位6）。『蛇口に当たる・防水パンでぐらつく・天井が低い』で置けない不満を解消する上位価格帯モデル</t>
        </is>
      </c>
      <c r="AH6" s="18" t="inlineStr">
        <is>
          <t>https://www.amazon.co.jp/dp/B07Q51GGGB</t>
        </is>
      </c>
      <c r="AI6" s="18" t="inlineStr">
        <is>
          <t>1688で検索</t>
        </is>
      </c>
      <c r="AJ6" s="18" t="inlineStr">
        <is>
          <t>Amazonで検索</t>
        </is>
      </c>
    </row>
    <row r="7" ht="60" customHeight="1">
      <c r="A7" s="28" t="n">
        <v>3</v>
      </c>
      <c r="B7" s="28" t="n">
        <v>1</v>
      </c>
      <c r="C7" s="28" t="inlineStr">
        <is>
          <t>上位10</t>
        </is>
      </c>
      <c r="D7" s="6" t="str">
        <f>'リサーチ表(15%以上)'!B9</f>
        <v>A3複合機対応プリンターワゴン（横揺れ防止・大径キャスター）</v>
      </c>
      <c r="E7" s="6" t="str">
        <f>'リサーチ表(15%以上)'!D9</f>
        <v>文房具・オフィス用品</v>
      </c>
      <c r="F7" s="17">
        <f>IFERROR(INDEX('前提条件'!$B$20:$B$28,MATCH(E7,'前提条件'!$A$20:$A$28,0)),'前提条件'!$B$20)</f>
        <v>0.154</v>
      </c>
      <c r="G7" s="7">
        <f>'リサーチ表(15%以上)'!J9</f>
        <v>10980</v>
      </c>
      <c r="H7" s="6" t="str">
        <f>'リサーチ表(15%以上)'!H9</f>
        <v>価格未確認（中国系3段ワゴンは¥6,000〜10,000程度と推定、サンワ等の国内品は上位価格帯）</v>
      </c>
      <c r="I7" s="24" t="n">
        <v>14980</v>
      </c>
      <c r="J7" s="36">
        <f>'リサーチ表(15%以上)'!M9</f>
        <v>85</v>
      </c>
      <c r="K7" s="7">
        <f>'リサーチ表(15%以上)'!N9</f>
        <v>300</v>
      </c>
      <c r="L7" s="9">
        <f>'リサーチ表(15%以上)'!O9</f>
        <v>66</v>
      </c>
      <c r="M7" s="9">
        <f>'リサーチ表(15%以上)'!P9</f>
        <v>56</v>
      </c>
      <c r="N7" s="9">
        <f>'リサーチ表(15%以上)'!Q9</f>
        <v>15</v>
      </c>
      <c r="O7" s="37">
        <f>'リサーチ表(15%以上)'!R9</f>
        <v>15</v>
      </c>
      <c r="P7" s="22">
        <f>L7+M7+N7</f>
        <v>137</v>
      </c>
      <c r="Q7" s="23">
        <f>L7*M7*N7/1000000</f>
        <v>0.05544</v>
      </c>
      <c r="R7" s="22">
        <f>MAX(MATCH(P7,'前提条件'!$C$34:$C$46,1),INDEX('前提条件'!$J$34:$J$41,MATCH(O7,'前提条件'!$H$34:$H$41,1)))</f>
        <v>5</v>
      </c>
      <c r="S7" s="15" t="str">
        <f>INDEX('前提条件'!$B$34:$B$46,R7)</f>
        <v>140サイズ</v>
      </c>
      <c r="T7" s="24">
        <f>INDEX('前提条件'!$E$34:$E$46,R7)*'前提条件'!$B$7</f>
        <v>1250</v>
      </c>
      <c r="U7" s="8">
        <f>'リサーチ表(15%以上)'!Y9</f>
        <v>0</v>
      </c>
      <c r="V7" s="24">
        <f>J7*'前提条件'!$B$4*(1+'前提条件'!$B$5)+K7+Q7*'前提条件'!$B$6+(J7*'前提条件'!$B$4*(1+'前提条件'!$B$5)+Q7*'前提条件'!$B$6)*U7</f>
        <v>3168.48</v>
      </c>
      <c r="W7" s="24">
        <f>G7/(1+'前提条件'!$B$13)</f>
        <v>9981.81818181818</v>
      </c>
      <c r="X7" s="24">
        <f>W7*(1-'前提条件'!$B$8-'前提条件'!$B$9)-G7*F7-T7-Q7*'前提条件'!$B$10*'前提条件'!$B$11-'前提条件'!$B$12-V7</f>
        <v>1925.48363636363</v>
      </c>
      <c r="Y7" s="17">
        <f>IF(W7&gt;0,X7/W7,0)</f>
        <v>0.192899089253187</v>
      </c>
      <c r="Z7" s="17">
        <f>IF(W7&gt;0,(X7+W7*'前提条件'!$B$8)/W7,0)</f>
        <v>0.292899089253187</v>
      </c>
      <c r="AA7" s="9">
        <f>'リサーチ表(15%以上)'!AN9</f>
        <v>60</v>
      </c>
      <c r="AB7" s="24">
        <f>X7*AA7</f>
        <v>115529.018181818</v>
      </c>
      <c r="AC7" s="22">
        <f>IF(X7&gt;0,ROUNDUP('前提条件'!$B$15/X7,0),"赤字")</f>
        <v>520</v>
      </c>
      <c r="AD7" s="24">
        <f>T7+(X7-'前提条件'!$B$14*W7)</f>
        <v>1678.21090909091</v>
      </c>
      <c r="AE7" s="26">
        <f>J7+(X7-'前提条件'!$B$14*W7)/('前提条件'!$B$4*(1+'前提条件'!$B$5)*(1+U7))</f>
        <v>101.520482603816</v>
      </c>
      <c r="AF7" s="15" t="str">
        <f>IF(Y7&gt;='前提条件'!$B$14,"◎ 15%以上",IF(Y7&gt;='前提条件'!$B$16,"△ 条件付き","× 除外"))</f>
        <v>◎ 15%以上</v>
      </c>
      <c r="AG7" s="15" t="inlineStr">
        <is>
          <t>リサーチ表に掲載（優先順位5）。20〜30kgのA3インクジェット複合機を載せても印刷中に揺れない業務用ワゴン。国内メーカー品より安く、中国系汎用品より頑丈に</t>
        </is>
      </c>
      <c r="AH7" s="18" t="inlineStr">
        <is>
          <t>https://www.amazon.co.jp/dp/B0DCMV6DKF</t>
        </is>
      </c>
      <c r="AI7" s="18" t="inlineStr">
        <is>
          <t>1688で検索</t>
        </is>
      </c>
      <c r="AJ7" s="18" t="inlineStr">
        <is>
          <t>Amazonで検索</t>
        </is>
      </c>
    </row>
    <row r="8" ht="60" customHeight="1">
      <c r="A8" s="28" t="n">
        <v>4</v>
      </c>
      <c r="B8" s="28" t="n">
        <v>26</v>
      </c>
      <c r="C8" s="28" t="inlineStr">
        <is>
          <t>追加30</t>
        </is>
      </c>
      <c r="D8" s="6" t="str">
        <f>'リサーチ表(15%以上)'!B8</f>
        <v>自転車2台スタンド（自立式・室内縦置き）</v>
      </c>
      <c r="E8" s="6" t="str">
        <f>'リサーチ表(15%以上)'!D8</f>
        <v>スポーツ&amp;アウトドア</v>
      </c>
      <c r="F8" s="17">
        <f>IFERROR(INDEX('前提条件'!$B$20:$B$28,MATCH(E8,'前提条件'!$A$20:$A$28,0)),'前提条件'!$B$20)</f>
        <v>0.104</v>
      </c>
      <c r="G8" s="7">
        <f>'リサーチ表(15%以上)'!J8</f>
        <v>9980</v>
      </c>
      <c r="H8" s="6" t="str">
        <f>'リサーチ表(15%以上)'!H8</f>
        <v>足立製作所 2434 ¥19,900 送料無料（検索結果）</v>
      </c>
      <c r="I8" s="24" t="n"/>
      <c r="J8" s="36">
        <f>'リサーチ表(15%以上)'!M8</f>
        <v>90</v>
      </c>
      <c r="K8" s="7">
        <f>'リサーチ表(15%以上)'!N8</f>
        <v>300</v>
      </c>
      <c r="L8" s="9">
        <f>'リサーチ表(15%以上)'!O8</f>
        <v>110</v>
      </c>
      <c r="M8" s="9">
        <f>'リサーチ表(15%以上)'!P8</f>
        <v>30</v>
      </c>
      <c r="N8" s="9">
        <f>'リサーチ表(15%以上)'!Q8</f>
        <v>12</v>
      </c>
      <c r="O8" s="37">
        <f>'リサーチ表(15%以上)'!R8</f>
        <v>9</v>
      </c>
      <c r="P8" s="22">
        <f>L8+M8+N8</f>
        <v>152</v>
      </c>
      <c r="Q8" s="23">
        <f>L8*M8*N8/1000000</f>
        <v>0.0396</v>
      </c>
      <c r="R8" s="22">
        <f>MAX(MATCH(P8,'前提条件'!$C$34:$C$46,1),INDEX('前提条件'!$J$34:$J$41,MATCH(O8,'前提条件'!$H$34:$H$41,1)))</f>
        <v>6</v>
      </c>
      <c r="S8" s="15" t="str">
        <f>INDEX('前提条件'!$B$34:$B$46,R8)</f>
        <v>160サイズ</v>
      </c>
      <c r="T8" s="24">
        <f>INDEX('前提条件'!$E$34:$E$46,R8)*'前提条件'!$B$7</f>
        <v>1450</v>
      </c>
      <c r="U8" s="8">
        <f>'リサーチ表(15%以上)'!Y8</f>
        <v>0</v>
      </c>
      <c r="V8" s="24">
        <f>J8*'前提条件'!$B$4*(1+'前提条件'!$B$5)+K8+Q8*'前提条件'!$B$6+(J8*'前提条件'!$B$4*(1+'前提条件'!$B$5)+Q8*'前提条件'!$B$6)*U8</f>
        <v>3108</v>
      </c>
      <c r="W8" s="24">
        <f>G8/(1+'前提条件'!$B$13)</f>
        <v>9072.72727272727</v>
      </c>
      <c r="X8" s="24">
        <f>W8*(1-'前提条件'!$B$8-'前提条件'!$B$9)-G8*F8-T8-Q8*'前提条件'!$B$10*'前提条件'!$B$11-'前提条件'!$B$12-V8</f>
        <v>1728.42545454545</v>
      </c>
      <c r="Y8" s="17">
        <f>IF(W8&gt;0,X8/W8,0)</f>
        <v>0.190507815631262</v>
      </c>
      <c r="Z8" s="17">
        <f>IF(W8&gt;0,(X8+W8*'前提条件'!$B$8)/W8,0)</f>
        <v>0.290507815631263</v>
      </c>
      <c r="AA8" s="9">
        <f>'リサーチ表(15%以上)'!AN8</f>
        <v>100</v>
      </c>
      <c r="AB8" s="24">
        <f>X8*AA8</f>
        <v>172842.545454545</v>
      </c>
      <c r="AC8" s="22">
        <f>IF(X8&gt;0,ROUNDUP('前提条件'!$B$15/X8,0),"赤字")</f>
        <v>579</v>
      </c>
      <c r="AD8" s="24">
        <f>T8+(X8-'前提条件'!$B$14*W8)</f>
        <v>1817.51636363636</v>
      </c>
      <c r="AE8" s="26">
        <f>J8+(X8-'前提条件'!$B$14*W8)/('前提条件'!$B$4*(1+'前提条件'!$B$5)*(1+U8))</f>
        <v>104.178872053872</v>
      </c>
      <c r="AF8" s="15" t="str">
        <f>IF(Y8&gt;='前提条件'!$B$14,"◎ 15%以上",IF(Y8&gt;='前提条件'!$B$16,"△ 条件付き","× 除外"))</f>
        <v>◎ 15%以上</v>
      </c>
      <c r="AG8" s="15" t="inlineStr">
        <is>
          <t>リサーチ表に掲載（優先順位4）。ロード・クロス・子供車2台を室内に縦置き。天井に依存しない自立式＋フック無段階調整＋小物棚で、国産（¥19,900）の半額帯を狙う</t>
        </is>
      </c>
      <c r="AH8" s="18" t="inlineStr">
        <is>
          <t>https://store.shopping.yahoo.co.jp/adachiseisakusyo/2434.html</t>
        </is>
      </c>
      <c r="AI8" s="18" t="inlineStr">
        <is>
          <t>1688で検索</t>
        </is>
      </c>
      <c r="AJ8" s="18" t="inlineStr">
        <is>
          <t>Amazonで検索</t>
        </is>
      </c>
    </row>
    <row r="9" ht="60" customHeight="1">
      <c r="A9" s="28" t="n">
        <v>5</v>
      </c>
      <c r="B9" s="28" t="n">
        <v>29</v>
      </c>
      <c r="C9" s="28" t="inlineStr">
        <is>
          <t>追加30</t>
        </is>
      </c>
      <c r="D9" s="6" t="str">
        <f>'リサーチ表(15%以上)'!B11</f>
        <v>ボール収納ワゴン（学校・クラブ向け・キャスター付き）</v>
      </c>
      <c r="E9" s="6" t="str">
        <f>'リサーチ表(15%以上)'!D11</f>
        <v>スポーツ&amp;アウトドア</v>
      </c>
      <c r="F9" s="17">
        <f>IFERROR(INDEX('前提条件'!$B$20:$B$28,MATCH(E9,'前提条件'!$A$20:$A$28,0)),'前提条件'!$B$20)</f>
        <v>0.104</v>
      </c>
      <c r="G9" s="7">
        <f>'リサーチ表(15%以上)'!J11</f>
        <v>9980</v>
      </c>
      <c r="H9" s="6" t="str">
        <f>'リサーチ表(15%以上)'!H11</f>
        <v>Earth Wing ¥8,480（検索結果）</v>
      </c>
      <c r="I9" s="24" t="n"/>
      <c r="J9" s="36">
        <f>'リサーチ表(15%以上)'!M11</f>
        <v>80</v>
      </c>
      <c r="K9" s="7">
        <f>'リサーチ表(15%以上)'!N11</f>
        <v>300</v>
      </c>
      <c r="L9" s="9">
        <f>'リサーチ表(15%以上)'!O11</f>
        <v>90</v>
      </c>
      <c r="M9" s="9">
        <f>'リサーチ表(15%以上)'!P11</f>
        <v>55</v>
      </c>
      <c r="N9" s="9">
        <f>'リサーチ表(15%以上)'!Q11</f>
        <v>12</v>
      </c>
      <c r="O9" s="37">
        <f>'リサーチ表(15%以上)'!R11</f>
        <v>10</v>
      </c>
      <c r="P9" s="22">
        <f>L9+M9+N9</f>
        <v>157</v>
      </c>
      <c r="Q9" s="23">
        <f>L9*M9*N9/1000000</f>
        <v>0.0594</v>
      </c>
      <c r="R9" s="22">
        <f>MAX(MATCH(P9,'前提条件'!$C$34:$C$46,1),INDEX('前提条件'!$J$34:$J$41,MATCH(O9,'前提条件'!$H$34:$H$41,1)))</f>
        <v>6</v>
      </c>
      <c r="S9" s="15" t="str">
        <f>INDEX('前提条件'!$B$34:$B$46,R9)</f>
        <v>160サイズ</v>
      </c>
      <c r="T9" s="24">
        <f>INDEX('前提条件'!$E$34:$E$46,R9)*'前提条件'!$B$7</f>
        <v>1450</v>
      </c>
      <c r="U9" s="8">
        <f>'リサーチ表(15%以上)'!Y11</f>
        <v>0</v>
      </c>
      <c r="V9" s="24">
        <f>J9*'前提条件'!$B$4*(1+'前提条件'!$B$5)+K9+Q9*'前提条件'!$B$6+(J9*'前提条件'!$B$4*(1+'前提条件'!$B$5)+Q9*'前提条件'!$B$6)*U9</f>
        <v>3086.4</v>
      </c>
      <c r="W9" s="24">
        <f>G9/(1+'前提条件'!$B$13)</f>
        <v>9072.72727272727</v>
      </c>
      <c r="X9" s="24">
        <f>W9*(1-'前提条件'!$B$8-'前提条件'!$B$9)-G9*F9-T9-Q9*'前提条件'!$B$10*'前提条件'!$B$11-'前提条件'!$B$12-V9</f>
        <v>1660.92545454545</v>
      </c>
      <c r="Y9" s="17">
        <f>IF(W9&gt;0,X9/W9,0)</f>
        <v>0.183067935871743</v>
      </c>
      <c r="Z9" s="17">
        <f>IF(W9&gt;0,(X9+W9*'前提条件'!$B$8)/W9,0)</f>
        <v>0.283067935871743</v>
      </c>
      <c r="AA9" s="9">
        <f>'リサーチ表(15%以上)'!AN11</f>
        <v>40</v>
      </c>
      <c r="AB9" s="24">
        <f>X9*AA9</f>
        <v>66437.0181818181</v>
      </c>
      <c r="AC9" s="22">
        <f>IF(X9&gt;0,ROUNDUP('前提条件'!$B$15/X9,0),"赤字")</f>
        <v>603</v>
      </c>
      <c r="AD9" s="24">
        <f>T9+(X9-'前提条件'!$B$14*W9)</f>
        <v>1750.01636363636</v>
      </c>
      <c r="AE9" s="26">
        <f>J9+(X9-'前提条件'!$B$14*W9)/('前提条件'!$B$4*(1+'前提条件'!$B$5)*(1+U9))</f>
        <v>91.5747053872053</v>
      </c>
      <c r="AF9" s="15" t="str">
        <f>IF(Y9&gt;='前提条件'!$B$14,"◎ 15%以上",IF(Y9&gt;='前提条件'!$B$16,"△ 条件付き","× 除外"))</f>
        <v>◎ 15%以上</v>
      </c>
      <c r="AG9" s="15" t="inlineStr">
        <is>
          <t>リサーチ表に掲載（優先順位7）。部活・スポーツ少年団・体育館向け。耐荷重強化とキャスター強化、交換用バッグの継続販売で業務需要を取る</t>
        </is>
      </c>
      <c r="AH9" s="18" t="inlineStr">
        <is>
          <t>https://store.shopping.yahoo.co.jp/discount-spirits2/a000000131862-copy.html</t>
        </is>
      </c>
      <c r="AI9" s="18" t="inlineStr">
        <is>
          <t>1688で検索</t>
        </is>
      </c>
      <c r="AJ9" s="18" t="inlineStr">
        <is>
          <t>Amazonで検索</t>
        </is>
      </c>
    </row>
    <row r="10" ht="60" customHeight="1">
      <c r="A10" s="28" t="n">
        <v>6</v>
      </c>
      <c r="B10" s="28" t="n">
        <v>38</v>
      </c>
      <c r="C10" s="28" t="inlineStr">
        <is>
          <t>追加30</t>
        </is>
      </c>
      <c r="D10" s="6" t="str">
        <f>'リサーチ表(15%以上)'!B12</f>
        <v>サロン収納ワゴン（髪が絡まないキャスター・ドライヤーホルダー）</v>
      </c>
      <c r="E10" s="6" t="str">
        <f>'リサーチ表(15%以上)'!D12</f>
        <v>ホーム&amp;キッチン</v>
      </c>
      <c r="F10" s="17">
        <f>IFERROR(INDEX('前提条件'!$B$20:$B$28,MATCH(E10,'前提条件'!$A$20:$A$28,0)),'前提条件'!$B$20)</f>
        <v>0.154</v>
      </c>
      <c r="G10" s="7">
        <f>'リサーチ表(15%以上)'!J12</f>
        <v>7980</v>
      </c>
      <c r="H10" s="6" t="str">
        <f>'リサーチ表(15%以上)'!H12</f>
        <v>汎用3段ワゴン ¥2,384〜4,980（検索結果）／業務用は上位価格帯（価格未確認）</v>
      </c>
      <c r="I10" s="24" t="n"/>
      <c r="J10" s="36">
        <f>'リサーチ表(15%以上)'!M12</f>
        <v>60</v>
      </c>
      <c r="K10" s="7">
        <f>'リサーチ表(15%以上)'!N12</f>
        <v>200</v>
      </c>
      <c r="L10" s="9">
        <f>'リサーチ表(15%以上)'!O12</f>
        <v>60</v>
      </c>
      <c r="M10" s="9">
        <f>'リサーチ表(15%以上)'!P12</f>
        <v>40</v>
      </c>
      <c r="N10" s="9">
        <f>'リサーチ表(15%以上)'!Q12</f>
        <v>15</v>
      </c>
      <c r="O10" s="37">
        <f>'リサーチ表(15%以上)'!R12</f>
        <v>7</v>
      </c>
      <c r="P10" s="22">
        <f>L10+M10+N10</f>
        <v>115</v>
      </c>
      <c r="Q10" s="23">
        <f>L10*M10*N10/1000000</f>
        <v>0.036</v>
      </c>
      <c r="R10" s="22">
        <f>MAX(MATCH(P10,'前提条件'!$C$34:$C$46,1),INDEX('前提条件'!$J$34:$J$41,MATCH(O10,'前提条件'!$H$34:$H$41,1)))</f>
        <v>4</v>
      </c>
      <c r="S10" s="15" t="str">
        <f>INDEX('前提条件'!$B$34:$B$46,R10)</f>
        <v>120サイズ</v>
      </c>
      <c r="T10" s="24">
        <f>INDEX('前提条件'!$E$34:$E$46,R10)*'前提条件'!$B$7</f>
        <v>1050</v>
      </c>
      <c r="U10" s="8">
        <f>'リサーチ表(15%以上)'!Y12</f>
        <v>0</v>
      </c>
      <c r="V10" s="24">
        <f>J10*'前提条件'!$B$4*(1+'前提条件'!$B$5)+K10+Q10*'前提条件'!$B$6+(J10*'前提条件'!$B$4*(1+'前提条件'!$B$5)+Q10*'前提条件'!$B$6)*U10</f>
        <v>2187.2</v>
      </c>
      <c r="W10" s="24">
        <f>G10/(1+'前提条件'!$B$13)</f>
        <v>7254.54545454545</v>
      </c>
      <c r="X10" s="24">
        <f>W10*(1-'前提条件'!$B$8-'前提条件'!$B$9)-G10*F10-T10-Q10*'前提条件'!$B$10*'前提条件'!$B$11-'前提条件'!$B$12-V10</f>
        <v>1310.78909090909</v>
      </c>
      <c r="Y10" s="17">
        <f>IF(W10&gt;0,X10/W10,0)</f>
        <v>0.180685213032581</v>
      </c>
      <c r="Z10" s="17">
        <f>IF(W10&gt;0,(X10+W10*'前提条件'!$B$8)/W10,0)</f>
        <v>0.280685213032581</v>
      </c>
      <c r="AA10" s="9">
        <f>'リサーチ表(15%以上)'!AN12</f>
        <v>60</v>
      </c>
      <c r="AB10" s="24">
        <f>X10*AA10</f>
        <v>78647.3454545454</v>
      </c>
      <c r="AC10" s="22">
        <f>IF(X10&gt;0,ROUNDUP('前提条件'!$B$15/X10,0),"赤字")</f>
        <v>763</v>
      </c>
      <c r="AD10" s="24">
        <f>T10+(X10-'前提条件'!$B$14*W10)</f>
        <v>1272.60727272727</v>
      </c>
      <c r="AE10" s="26">
        <f>J10+(X10-'前提条件'!$B$14*W10)/('前提条件'!$B$4*(1+'前提条件'!$B$5)*(1+U10))</f>
        <v>68.5882435465769</v>
      </c>
      <c r="AF10" s="15" t="str">
        <f>IF(Y10&gt;='前提条件'!$B$14,"◎ 15%以上",IF(Y10&gt;='前提条件'!$B$16,"△ 条件付き","× 除外"))</f>
        <v>◎ 15%以上</v>
      </c>
      <c r="AG10" s="15" t="inlineStr">
        <is>
          <t>リサーチ表に掲載（優先順位8）。美容室・ネイル・エステ向け業務用ワゴン。汎用3段ワゴン（¥2〜5千）と差別化できる業務機能で上位価格帯を狙う</t>
        </is>
      </c>
      <c r="AH10" s="18" t="inlineStr">
        <is>
          <t>https://www.bisella.com/wagon</t>
        </is>
      </c>
      <c r="AI10" s="18" t="inlineStr">
        <is>
          <t>1688で検索</t>
        </is>
      </c>
      <c r="AJ10" s="18" t="inlineStr">
        <is>
          <t>Amazonで検索</t>
        </is>
      </c>
    </row>
    <row r="11" ht="60" customHeight="1">
      <c r="A11" s="28" t="n">
        <v>7</v>
      </c>
      <c r="B11" s="28" t="n">
        <v>24</v>
      </c>
      <c r="C11" s="28" t="inlineStr">
        <is>
          <t>追加30</t>
        </is>
      </c>
      <c r="D11" s="6" t="str">
        <f>'リサーチ表(15%以上)'!B6</f>
        <v>大型猫用キャットタワー（180cm・極太支柱・揺れ対策）</v>
      </c>
      <c r="E11" s="6" t="str">
        <f>'リサーチ表(15%以上)'!D6</f>
        <v>ペット用品</v>
      </c>
      <c r="F11" s="17">
        <f>IFERROR(INDEX('前提条件'!$B$20:$B$28,MATCH(E11,'前提条件'!$A$20:$A$28,0)),'前提条件'!$B$20)</f>
        <v>0.154</v>
      </c>
      <c r="G11" s="7">
        <f>'リサーチ表(15%以上)'!J6</f>
        <v>17980</v>
      </c>
      <c r="H11" s="6" t="str">
        <f>'リサーチ表(15%以上)'!H6</f>
        <v>180cm帯は¥11,980前後の例（楽天検索結果）。大型猫向け上位品の価格は未確認</v>
      </c>
      <c r="I11" s="24" t="n"/>
      <c r="J11" s="36">
        <f>'リサーチ表(15%以上)'!M6</f>
        <v>170</v>
      </c>
      <c r="K11" s="7">
        <f>'リサーチ表(15%以上)'!N6</f>
        <v>500</v>
      </c>
      <c r="L11" s="9">
        <f>'リサーチ表(15%以上)'!O6</f>
        <v>82</v>
      </c>
      <c r="M11" s="9">
        <f>'リサーチ表(15%以上)'!P6</f>
        <v>47</v>
      </c>
      <c r="N11" s="9">
        <f>'リサーチ表(15%以上)'!Q6</f>
        <v>28</v>
      </c>
      <c r="O11" s="37">
        <f>'リサーチ表(15%以上)'!R6</f>
        <v>24</v>
      </c>
      <c r="P11" s="22">
        <f>L11+M11+N11</f>
        <v>157</v>
      </c>
      <c r="Q11" s="23">
        <f>L11*M11*N11/1000000</f>
        <v>0.107912</v>
      </c>
      <c r="R11" s="22">
        <f>MAX(MATCH(P11,'前提条件'!$C$34:$C$46,1),INDEX('前提条件'!$J$34:$J$41,MATCH(O11,'前提条件'!$H$34:$H$41,1)))</f>
        <v>6</v>
      </c>
      <c r="S11" s="15" t="str">
        <f>INDEX('前提条件'!$B$34:$B$46,R11)</f>
        <v>160サイズ</v>
      </c>
      <c r="T11" s="24">
        <f>INDEX('前提条件'!$E$34:$E$46,R11)*'前提条件'!$B$7</f>
        <v>1450</v>
      </c>
      <c r="U11" s="8">
        <f>'リサーチ表(15%以上)'!Y6</f>
        <v>0</v>
      </c>
      <c r="V11" s="24">
        <f>J11*'前提条件'!$B$4*(1+'前提条件'!$B$5)+K11+Q11*'前提条件'!$B$6+(J11*'前提条件'!$B$4*(1+'前提条件'!$B$5)+Q11*'前提条件'!$B$6)*U11</f>
        <v>6201.344</v>
      </c>
      <c r="W11" s="24">
        <f>G11/(1+'前提条件'!$B$13)</f>
        <v>16345.4545454545</v>
      </c>
      <c r="X11" s="24">
        <f>W11*(1-'前提条件'!$B$8-'前提条件'!$B$9)-G11*F11-T11-Q11*'前提条件'!$B$10*'前提条件'!$B$11-'前提条件'!$B$12-V11</f>
        <v>2851.22290909091</v>
      </c>
      <c r="Y11" s="17">
        <f>IF(W11&gt;0,X11/W11,0)</f>
        <v>0.174435216907675</v>
      </c>
      <c r="Z11" s="17">
        <f>IF(W11&gt;0,(X11+W11*'前提条件'!$B$8)/W11,0)</f>
        <v>0.274435216907675</v>
      </c>
      <c r="AA11" s="9">
        <f>'リサーチ表(15%以上)'!AN6</f>
        <v>150</v>
      </c>
      <c r="AB11" s="24">
        <f>X11*AA11</f>
        <v>427683.436363636</v>
      </c>
      <c r="AC11" s="22">
        <f>IF(X11&gt;0,ROUNDUP('前提条件'!$B$15/X11,0),"赤字")</f>
        <v>351</v>
      </c>
      <c r="AD11" s="24">
        <f>T11+(X11-'前提条件'!$B$14*W11)</f>
        <v>1849.40472727273</v>
      </c>
      <c r="AE11" s="26">
        <f>J11+(X11-'前提条件'!$B$14*W11)/('前提条件'!$B$4*(1+'前提条件'!$B$5)*(1+U11))</f>
        <v>185.409132996633</v>
      </c>
      <c r="AF11" s="15" t="str">
        <f>IF(Y11&gt;='前提条件'!$B$14,"◎ 15%以上",IF(Y11&gt;='前提条件'!$B$16,"△ 条件付き","× 除外"))</f>
        <v>◎ 15%以上</v>
      </c>
      <c r="AG11" s="15" t="inlineStr">
        <is>
          <t>リサーチ表に掲載（優先順位2）。メインクーン等6kg超の大型猫・多頭飼い特化。極太支柱×重量ベース×転倒防止キットで「揺れない」を訴求し、単価¥17,980帯を狙う</t>
        </is>
      </c>
      <c r="AH11" s="18" t="inlineStr">
        <is>
          <t>https://sakura-checker.jp/search/B099RYLG3S/</t>
        </is>
      </c>
      <c r="AI11" s="18" t="inlineStr">
        <is>
          <t>1688で検索</t>
        </is>
      </c>
      <c r="AJ11" s="18" t="inlineStr">
        <is>
          <t>Amazonで検索</t>
        </is>
      </c>
    </row>
    <row r="12" ht="60" customHeight="1">
      <c r="A12" s="28" t="n">
        <v>8</v>
      </c>
      <c r="B12" s="28" t="n">
        <v>32</v>
      </c>
      <c r="C12" s="28" t="inlineStr">
        <is>
          <t>追加30</t>
        </is>
      </c>
      <c r="D12" s="6" t="str">
        <f>'リサーチ表(15%以上)'!B5</f>
        <v>大型宅配ボックス（戸建て・組立式スチール110L）</v>
      </c>
      <c r="E12" s="6" t="str">
        <f>'リサーチ表(15%以上)'!D5</f>
        <v>DIY・工具・ガーデン</v>
      </c>
      <c r="F12" s="17">
        <f>IFERROR(INDEX('前提条件'!$B$20:$B$28,MATCH(E12,'前提条件'!$A$20:$A$28,0)),'前提条件'!$B$20)</f>
        <v>0.154</v>
      </c>
      <c r="G12" s="7">
        <f>'リサーチ表(15%以上)'!J5</f>
        <v>19800</v>
      </c>
      <c r="H12" s="6" t="str">
        <f>'リサーチ表(15%以上)'!H5</f>
        <v>タンスのゲン 134L 旧モデル ¥17,999（Yahoo!商品名の表記）／COVELL 140L は価格未確認</v>
      </c>
      <c r="I12" s="24" t="n"/>
      <c r="J12" s="36">
        <f>'リサーチ表(15%以上)'!M5</f>
        <v>200</v>
      </c>
      <c r="K12" s="7">
        <f>'リサーチ表(15%以上)'!N5</f>
        <v>500</v>
      </c>
      <c r="L12" s="9">
        <f>'リサーチ表(15%以上)'!O5</f>
        <v>108</v>
      </c>
      <c r="M12" s="9">
        <f>'リサーチ表(15%以上)'!P5</f>
        <v>52</v>
      </c>
      <c r="N12" s="9">
        <f>'リサーチ表(15%以上)'!Q5</f>
        <v>16</v>
      </c>
      <c r="O12" s="37">
        <f>'リサーチ表(15%以上)'!R5</f>
        <v>20</v>
      </c>
      <c r="P12" s="22">
        <f>L12+M12+N12</f>
        <v>176</v>
      </c>
      <c r="Q12" s="23">
        <f>L12*M12*N12/1000000</f>
        <v>0.089856</v>
      </c>
      <c r="R12" s="22">
        <f>MAX(MATCH(P12,'前提条件'!$C$34:$C$46,1),INDEX('前提条件'!$J$34:$J$41,MATCH(O12,'前提条件'!$H$34:$H$41,1)))</f>
        <v>8</v>
      </c>
      <c r="S12" s="15" t="str">
        <f>INDEX('前提条件'!$B$34:$B$46,R12)</f>
        <v>180サイズ</v>
      </c>
      <c r="T12" s="24">
        <f>INDEX('前提条件'!$E$34:$E$46,R12)*'前提条件'!$B$7</f>
        <v>2200</v>
      </c>
      <c r="U12" s="8">
        <f>'リサーチ表(15%以上)'!Y5</f>
        <v>0</v>
      </c>
      <c r="V12" s="24">
        <f>J12*'前提条件'!$B$4*(1+'前提条件'!$B$5)+K12+Q12*'前提条件'!$B$6+(J12*'前提条件'!$B$4*(1+'前提条件'!$B$5)+Q12*'前提条件'!$B$6)*U12</f>
        <v>6762.272</v>
      </c>
      <c r="W12" s="24">
        <f>G12/(1+'前提条件'!$B$13)</f>
        <v>18000</v>
      </c>
      <c r="X12" s="24">
        <f>W12*(1-'前提条件'!$B$8-'前提条件'!$B$9)-G12*F12-T12-Q12*'前提条件'!$B$10*'前提条件'!$B$11-'前提条件'!$B$12-V12</f>
        <v>2764.176</v>
      </c>
      <c r="Y12" s="17">
        <f>IF(W12&gt;0,X12/W12,0)</f>
        <v>0.153565333333333</v>
      </c>
      <c r="Z12" s="17">
        <f>IF(W12&gt;0,(X12+W12*'前提条件'!$B$8)/W12,0)</f>
        <v>0.253565333333333</v>
      </c>
      <c r="AA12" s="9">
        <f>'リサーチ表(15%以上)'!AN5</f>
        <v>250</v>
      </c>
      <c r="AB12" s="24">
        <f>X12*AA12</f>
        <v>691044</v>
      </c>
      <c r="AC12" s="22">
        <f>IF(X12&gt;0,ROUNDUP('前提条件'!$B$15/X12,0),"赤字")</f>
        <v>362</v>
      </c>
      <c r="AD12" s="24">
        <f>T12+(X12-'前提条件'!$B$14*W12)</f>
        <v>2264.176</v>
      </c>
      <c r="AE12" s="26">
        <f>J12+(X12-'前提条件'!$B$14*W12)/('前提条件'!$B$4*(1+'前提条件'!$B$5)*(1+U12))</f>
        <v>202.475925925926</v>
      </c>
      <c r="AF12" s="15" t="str">
        <f>IF(Y12&gt;='前提条件'!$B$14,"◎ 15%以上",IF(Y12&gt;='前提条件'!$B$16,"△ 条件付き","× 除外"))</f>
        <v>◎ 15%以上</v>
      </c>
      <c r="AG12" s="15" t="inlineStr">
        <is>
          <t>リサーチ表に掲載（優先順位1）。置き配定着で需要が大きい戸建て用。組立式（ノックダウン）で梱包容積を完成品の約1/3に抑え、送料差で完成品の競合より高機能・同価格帯を実現</t>
        </is>
      </c>
      <c r="AH12" s="18" t="inlineStr">
        <is>
          <t>https://store.shopping.yahoo.co.jp/tansu/17600169.html</t>
        </is>
      </c>
      <c r="AI12" s="18" t="inlineStr">
        <is>
          <t>1688で検索</t>
        </is>
      </c>
      <c r="AJ12" s="18" t="inlineStr">
        <is>
          <t>Amazonで検索</t>
        </is>
      </c>
    </row>
    <row r="13" ht="60" customHeight="1">
      <c r="A13" s="28" t="n">
        <v>9</v>
      </c>
      <c r="B13" s="28" t="n">
        <v>3</v>
      </c>
      <c r="C13" s="28" t="inlineStr">
        <is>
          <t>上位10</t>
        </is>
      </c>
      <c r="D13" s="14" t="inlineStr">
        <is>
          <t>猫トイレ収納キャビネット</t>
        </is>
      </c>
      <c r="E13" s="16" t="inlineStr">
        <is>
          <t>ペット用品</t>
        </is>
      </c>
      <c r="F13" s="17">
        <f>IFERROR(INDEX('前提条件'!$B$20:$B$28,MATCH(E13,'前提条件'!$A$20:$A$28,0)),'前提条件'!$B$20)</f>
        <v>0.154</v>
      </c>
      <c r="G13" s="19" t="n">
        <v>17980</v>
      </c>
      <c r="H13" s="15" t="inlineStr">
        <is>
          <t>アイリスオーヤマ CTC-890：Yahoo!¥13,336〜／楽天¥19,410、★4.18（22件）</t>
        </is>
      </c>
      <c r="I13" s="24" t="n">
        <v>19800</v>
      </c>
      <c r="J13" s="20" t="n">
        <v>170</v>
      </c>
      <c r="K13" s="19" t="n">
        <v>600</v>
      </c>
      <c r="L13" s="13" t="n">
        <v>105</v>
      </c>
      <c r="M13" s="13" t="n">
        <v>55</v>
      </c>
      <c r="N13" s="13" t="n">
        <v>18</v>
      </c>
      <c r="O13" s="21" t="n">
        <v>26</v>
      </c>
      <c r="P13" s="22">
        <f>L13+M13+N13</f>
        <v>178</v>
      </c>
      <c r="Q13" s="23">
        <f>L13*M13*N13/1000000</f>
        <v>0.10395</v>
      </c>
      <c r="R13" s="22">
        <f>MAX(MATCH(P13,'前提条件'!$C$34:$C$46,1),INDEX('前提条件'!$J$34:$J$41,MATCH(O13,'前提条件'!$H$34:$H$41,1)))</f>
        <v>8</v>
      </c>
      <c r="S13" s="15" t="str">
        <f>INDEX('前提条件'!$B$34:$B$46,R13)</f>
        <v>180サイズ</v>
      </c>
      <c r="T13" s="24">
        <f>INDEX('前提条件'!$E$34:$E$46,R13)*'前提条件'!$B$7</f>
        <v>2200</v>
      </c>
      <c r="U13" s="25" t="n">
        <v>0</v>
      </c>
      <c r="V13" s="24">
        <f>J13*'前提条件'!$B$4*(1+'前提条件'!$B$5)+K13+Q13*'前提条件'!$B$6+(J13*'前提条件'!$B$4*(1+'前提条件'!$B$5)+Q13*'前提条件'!$B$6)*U13</f>
        <v>6253.8</v>
      </c>
      <c r="W13" s="24">
        <f>G13/(1+'前提条件'!$B$13)</f>
        <v>16345.4545454545</v>
      </c>
      <c r="X13" s="24">
        <f>W13*(1-'前提条件'!$B$8-'前提条件'!$B$9)-G13*F13-T13-Q13*'前提条件'!$B$10*'前提条件'!$B$11-'前提条件'!$B$12-V13</f>
        <v>2066.59590909091</v>
      </c>
      <c r="Y13" s="17">
        <f>IF(W13&gt;0,X13/W13,0)</f>
        <v>0.12643245272525</v>
      </c>
      <c r="Z13" s="17">
        <f>IF(W13&gt;0,(X13+W13*'前提条件'!$B$8)/W13,0)</f>
        <v>0.22643245272525</v>
      </c>
      <c r="AA13" s="13" t="n">
        <v>80</v>
      </c>
      <c r="AB13" s="24">
        <f>X13*AA13</f>
        <v>165327.672727273</v>
      </c>
      <c r="AC13" s="22">
        <f>IF(X13&gt;0,ROUNDUP('前提条件'!$B$15/X13,0),"赤字")</f>
        <v>484</v>
      </c>
      <c r="AD13" s="24">
        <f>T13+(X13-'前提条件'!$B$14*W13)</f>
        <v>1814.77772727273</v>
      </c>
      <c r="AE13" s="26">
        <f>J13+(X13-'前提条件'!$B$14*W13)/('前提条件'!$B$4*(1+'前提条件'!$B$5)*(1+U13))</f>
        <v>155.138029601571</v>
      </c>
      <c r="AF13" s="15" t="str">
        <f>IF(Y13&gt;='前提条件'!$B$14,"◎ 15%以上",IF(Y13&gt;='前提条件'!$B$16,"△ 条件付き","× 除外"))</f>
        <v>△ 条件付き</v>
      </c>
      <c r="AG13" s="15" t="inlineStr">
        <is>
          <t>180サイズ送料と重い板材が利益を圧迫。仕入¥155元以下か国内送料¥1,815以下で15%到達。入口の狭さ・におい籠り・木部の水濡れが不満→防水トレー・換気口で差別化</t>
        </is>
      </c>
      <c r="AH13" s="18" t="inlineStr">
        <is>
          <t>https://www.irisplaza.co.jp/index.php?KB=SHOSAI&amp;SID=P288209F</t>
        </is>
      </c>
      <c r="AI13" s="18" t="inlineStr">
        <is>
          <t>1688で検索</t>
        </is>
      </c>
      <c r="AJ13" s="18" t="inlineStr">
        <is>
          <t>Amazonで検索</t>
        </is>
      </c>
    </row>
    <row r="14" ht="60" customHeight="1">
      <c r="A14" s="28" t="n">
        <v>10</v>
      </c>
      <c r="B14" s="28" t="n">
        <v>27</v>
      </c>
      <c r="C14" s="28" t="inlineStr">
        <is>
          <t>追加30</t>
        </is>
      </c>
      <c r="D14" s="14" t="inlineStr">
        <is>
          <t>ロッド・釣具一体ラック</t>
        </is>
      </c>
      <c r="E14" s="16" t="inlineStr">
        <is>
          <t>スポーツ&amp;アウトドア</t>
        </is>
      </c>
      <c r="F14" s="17">
        <f>IFERROR(INDEX('前提条件'!$B$20:$B$28,MATCH(E14,'前提条件'!$A$20:$A$28,0)),'前提条件'!$B$20)</f>
        <v>0.104</v>
      </c>
      <c r="G14" s="19" t="n">
        <v>6980</v>
      </c>
      <c r="H14" s="15" t="inlineStr">
        <is>
          <t>19本木製（日本製）、12本4in1（Yahoo!1位）等。価格未確認</t>
        </is>
      </c>
      <c r="I14" s="24" t="n"/>
      <c r="J14" s="20" t="n">
        <v>60</v>
      </c>
      <c r="K14" s="19" t="n">
        <v>200</v>
      </c>
      <c r="L14" s="13" t="n">
        <v>80</v>
      </c>
      <c r="M14" s="13" t="n">
        <v>40</v>
      </c>
      <c r="N14" s="13" t="n">
        <v>12</v>
      </c>
      <c r="O14" s="21" t="n">
        <v>7</v>
      </c>
      <c r="P14" s="22">
        <f>L14+M14+N14</f>
        <v>132</v>
      </c>
      <c r="Q14" s="23">
        <f>L14*M14*N14/1000000</f>
        <v>0.0384</v>
      </c>
      <c r="R14" s="22">
        <f>MAX(MATCH(P14,'前提条件'!$C$34:$C$46,1),INDEX('前提条件'!$J$34:$J$41,MATCH(O14,'前提条件'!$H$34:$H$41,1)))</f>
        <v>5</v>
      </c>
      <c r="S14" s="15" t="str">
        <f>INDEX('前提条件'!$B$34:$B$46,R14)</f>
        <v>140サイズ</v>
      </c>
      <c r="T14" s="24">
        <f>INDEX('前提条件'!$E$34:$E$46,R14)*'前提条件'!$B$7</f>
        <v>1250</v>
      </c>
      <c r="U14" s="25" t="n">
        <v>0</v>
      </c>
      <c r="V14" s="24">
        <f>J14*'前提条件'!$B$4*(1+'前提条件'!$B$5)+K14+Q14*'前提条件'!$B$6+(J14*'前提条件'!$B$4*(1+'前提条件'!$B$5)+Q14*'前提条件'!$B$6)*U14</f>
        <v>2216</v>
      </c>
      <c r="W14" s="24">
        <f>G14/(1+'前提条件'!$B$13)</f>
        <v>6345.45454545455</v>
      </c>
      <c r="X14" s="24">
        <f>W14*(1-'前提条件'!$B$8-'前提条件'!$B$9)-G14*F14-T14-Q14*'前提条件'!$B$10*'前提条件'!$B$11-'前提条件'!$B$12-V14</f>
        <v>792.370909090909</v>
      </c>
      <c r="Y14" s="17">
        <f>IF(W14&gt;0,X14/W14,0)</f>
        <v>0.124872206303725</v>
      </c>
      <c r="Z14" s="17">
        <f>IF(W14&gt;0,(X14+W14*'前提条件'!$B$8)/W14,0)</f>
        <v>0.224872206303725</v>
      </c>
      <c r="AA14" s="13" t="n">
        <v>60</v>
      </c>
      <c r="AB14" s="24">
        <f>X14*AA14</f>
        <v>47542.2545454545</v>
      </c>
      <c r="AC14" s="22">
        <f>IF(X14&gt;0,ROUNDUP('前提条件'!$B$15/X14,0),"赤字")</f>
        <v>1263</v>
      </c>
      <c r="AD14" s="24">
        <f>T14+(X14-'前提条件'!$B$14*W14)</f>
        <v>1090.55272727273</v>
      </c>
      <c r="AE14" s="26">
        <f>J14+(X14-'前提条件'!$B$14*W14)/('前提条件'!$B$4*(1+'前提条件'!$B$5)*(1+U14))</f>
        <v>53.8484848484848</v>
      </c>
      <c r="AF14" s="15" t="str">
        <f>IF(Y14&gt;='前提条件'!$B$14,"◎ 15%以上",IF(Y14&gt;='前提条件'!$B$16,"△ 条件付き","× 除外"))</f>
        <v>△ 条件付き</v>
      </c>
      <c r="AG14" s="15" t="inlineStr">
        <is>
          <t>市場が小さい。タックル棚付きで¥7,980以上なら15%到達</t>
        </is>
      </c>
      <c r="AH14" s="18" t="inlineStr">
        <is>
          <t>https://search.kakaku.com/%E3%83%AD%E3%83%83%E3%83%89%E3%82%B9%E3%82%BF%E3%83%B3%E3%83%89/</t>
        </is>
      </c>
      <c r="AI14" s="18" t="inlineStr">
        <is>
          <t>1688で検索</t>
        </is>
      </c>
      <c r="AJ14" s="18" t="inlineStr">
        <is>
          <t>Amazonで検索</t>
        </is>
      </c>
    </row>
    <row r="15" ht="60" customHeight="1">
      <c r="A15" s="28" t="n">
        <v>11</v>
      </c>
      <c r="B15" s="28" t="n">
        <v>20</v>
      </c>
      <c r="C15" s="28" t="inlineStr">
        <is>
          <t>追加30</t>
        </is>
      </c>
      <c r="D15" s="14" t="inlineStr">
        <is>
          <t>レイズドガーデンベッド</t>
        </is>
      </c>
      <c r="E15" s="16" t="inlineStr">
        <is>
          <t>DIY・工具・ガーデン</t>
        </is>
      </c>
      <c r="F15" s="17">
        <f>IFERROR(INDEX('前提条件'!$B$20:$B$28,MATCH(E15,'前提条件'!$A$20:$A$28,0)),'前提条件'!$B$20)</f>
        <v>0.154</v>
      </c>
      <c r="G15" s="19" t="n">
        <v>7980</v>
      </c>
      <c r="H15" s="15" t="inlineStr">
        <is>
          <t>ohbien（120×60×28・亜鉛メッキ）、100×100×45が¥4,580の例</t>
        </is>
      </c>
      <c r="I15" s="24" t="n"/>
      <c r="J15" s="20" t="n">
        <v>70</v>
      </c>
      <c r="K15" s="19" t="n">
        <v>200</v>
      </c>
      <c r="L15" s="13" t="n">
        <v>95</v>
      </c>
      <c r="M15" s="13" t="n">
        <v>35</v>
      </c>
      <c r="N15" s="13" t="n">
        <v>10</v>
      </c>
      <c r="O15" s="21" t="n">
        <v>11</v>
      </c>
      <c r="P15" s="22">
        <f>L15+M15+N15</f>
        <v>140</v>
      </c>
      <c r="Q15" s="23">
        <f>L15*M15*N15/1000000</f>
        <v>0.03325</v>
      </c>
      <c r="R15" s="22">
        <f>MAX(MATCH(P15,'前提条件'!$C$34:$C$46,1),INDEX('前提条件'!$J$34:$J$41,MATCH(O15,'前提条件'!$H$34:$H$41,1)))</f>
        <v>5</v>
      </c>
      <c r="S15" s="15" t="str">
        <f>INDEX('前提条件'!$B$34:$B$46,R15)</f>
        <v>140サイズ</v>
      </c>
      <c r="T15" s="24">
        <f>INDEX('前提条件'!$E$34:$E$46,R15)*'前提条件'!$B$7</f>
        <v>1250</v>
      </c>
      <c r="U15" s="25" t="n">
        <v>0</v>
      </c>
      <c r="V15" s="24">
        <f>J15*'前提条件'!$B$4*(1+'前提条件'!$B$5)+K15+Q15*'前提条件'!$B$6+(J15*'前提条件'!$B$4*(1+'前提条件'!$B$5)+Q15*'前提条件'!$B$6)*U15</f>
        <v>2413.4</v>
      </c>
      <c r="W15" s="24">
        <f>G15/(1+'前提条件'!$B$13)</f>
        <v>7254.54545454545</v>
      </c>
      <c r="X15" s="24">
        <f>W15*(1-'前提条件'!$B$8-'前提条件'!$B$9)-G15*F15-T15-Q15*'前提条件'!$B$10*'前提条件'!$B$11-'前提条件'!$B$12-V15</f>
        <v>896.96409090909</v>
      </c>
      <c r="Y15" s="17">
        <f>IF(W15&gt;0,X15/W15,0)</f>
        <v>0.123641666666667</v>
      </c>
      <c r="Z15" s="17">
        <f>IF(W15&gt;0,(X15+W15*'前提条件'!$B$8)/W15,0)</f>
        <v>0.223641666666667</v>
      </c>
      <c r="AA15" s="13" t="n">
        <v>80</v>
      </c>
      <c r="AB15" s="24">
        <f>X15*AA15</f>
        <v>71757.1272727272</v>
      </c>
      <c r="AC15" s="22">
        <f>IF(X15&gt;0,ROUNDUP('前提条件'!$B$15/X15,0),"赤字")</f>
        <v>1115</v>
      </c>
      <c r="AD15" s="24">
        <f>T15+(X15-'前提条件'!$B$14*W15)</f>
        <v>1058.78227272727</v>
      </c>
      <c r="AE15" s="26">
        <f>J15+(X15-'前提条件'!$B$14*W15)/('前提条件'!$B$4*(1+'前提条件'!$B$5)*(1+U15))</f>
        <v>62.6227728675645</v>
      </c>
      <c r="AF15" s="15" t="str">
        <f>IF(Y15&gt;='前提条件'!$B$14,"◎ 15%以上",IF(Y15&gt;='前提条件'!$B$16,"△ 条件付き","× 除外"))</f>
        <v>△ 条件付き</v>
      </c>
      <c r="AG15" s="15" t="inlineStr">
        <is>
          <t>価格競争が強い。防虫ネット支柱・散水チューブ付きセットで単価を上げれば15%到達の可能性</t>
        </is>
      </c>
      <c r="AH15" s="18" t="inlineStr">
        <is>
          <t>https://www.amazon.co.jp/gp/bestsellers/diy/10472105051</t>
        </is>
      </c>
      <c r="AI15" s="18" t="inlineStr">
        <is>
          <t>1688で検索</t>
        </is>
      </c>
      <c r="AJ15" s="18" t="inlineStr">
        <is>
          <t>Amazonで検索</t>
        </is>
      </c>
    </row>
    <row r="16" ht="60" customHeight="1">
      <c r="A16" s="28" t="n">
        <v>12</v>
      </c>
      <c r="B16" s="28" t="n">
        <v>10</v>
      </c>
      <c r="C16" s="28" t="inlineStr">
        <is>
          <t>上位10</t>
        </is>
      </c>
      <c r="D16" s="14" t="inlineStr">
        <is>
          <t>静音ステンレスワゴン</t>
        </is>
      </c>
      <c r="E16" s="16" t="inlineStr">
        <is>
          <t>産業・研究開発用品</t>
        </is>
      </c>
      <c r="F16" s="17">
        <f>IFERROR(INDEX('前提条件'!$B$20:$B$28,MATCH(E16,'前提条件'!$A$20:$A$28,0)),'前提条件'!$B$20)</f>
        <v>0.154</v>
      </c>
      <c r="G16" s="19" t="n">
        <v>11980</v>
      </c>
      <c r="H16" s="15" t="inlineStr">
        <is>
          <t>Amazon 3段 ¥5,980〜11,980／柏ステンレス 静音 ¥37,650（価格.com）</t>
        </is>
      </c>
      <c r="I16" s="24" t="n">
        <v>17980</v>
      </c>
      <c r="J16" s="20" t="n">
        <v>120</v>
      </c>
      <c r="K16" s="19" t="n">
        <v>400</v>
      </c>
      <c r="L16" s="13" t="n">
        <v>80</v>
      </c>
      <c r="M16" s="13" t="n">
        <v>47</v>
      </c>
      <c r="N16" s="13" t="n">
        <v>15</v>
      </c>
      <c r="O16" s="21" t="n">
        <v>14</v>
      </c>
      <c r="P16" s="22">
        <f>L16+M16+N16</f>
        <v>142</v>
      </c>
      <c r="Q16" s="23">
        <f>L16*M16*N16/1000000</f>
        <v>0.0564</v>
      </c>
      <c r="R16" s="22">
        <f>MAX(MATCH(P16,'前提条件'!$C$34:$C$46,1),INDEX('前提条件'!$J$34:$J$41,MATCH(O16,'前提条件'!$H$34:$H$41,1)))</f>
        <v>6</v>
      </c>
      <c r="S16" s="15" t="str">
        <f>INDEX('前提条件'!$B$34:$B$46,R16)</f>
        <v>160サイズ</v>
      </c>
      <c r="T16" s="24">
        <f>INDEX('前提条件'!$E$34:$E$46,R16)*'前提条件'!$B$7</f>
        <v>1450</v>
      </c>
      <c r="U16" s="25" t="n">
        <v>0</v>
      </c>
      <c r="V16" s="24">
        <f>J16*'前提条件'!$B$4*(1+'前提条件'!$B$5)+K16+Q16*'前提条件'!$B$6+(J16*'前提条件'!$B$4*(1+'前提条件'!$B$5)+Q16*'前提条件'!$B$6)*U16</f>
        <v>4187.2</v>
      </c>
      <c r="W16" s="24">
        <f>G16/(1+'前提条件'!$B$13)</f>
        <v>10890.9090909091</v>
      </c>
      <c r="X16" s="24">
        <f>W16*(1-'前提条件'!$B$8-'前提条件'!$B$9)-G16*F16-T16-Q16*'前提条件'!$B$10*'前提条件'!$B$11-'前提条件'!$B$12-V16</f>
        <v>1330.26181818182</v>
      </c>
      <c r="Y16" s="17">
        <f>IF(W16&gt;0,X16/W16,0)</f>
        <v>0.122144240400668</v>
      </c>
      <c r="Z16" s="17">
        <f>IF(W16&gt;0,(X16+W16*'前提条件'!$B$8)/W16,0)</f>
        <v>0.222144240400668</v>
      </c>
      <c r="AA16" s="13" t="n">
        <v>80</v>
      </c>
      <c r="AB16" s="24">
        <f>X16*AA16</f>
        <v>106420.945454545</v>
      </c>
      <c r="AC16" s="22">
        <f>IF(X16&gt;0,ROUNDUP('前提条件'!$B$15/X16,0),"赤字")</f>
        <v>752</v>
      </c>
      <c r="AD16" s="24">
        <f>T16+(X16-'前提条件'!$B$14*W16)</f>
        <v>1146.62545454545</v>
      </c>
      <c r="AE16" s="26">
        <f>J16+(X16-'前提条件'!$B$14*W16)/('前提条件'!$B$4*(1+'前提条件'!$B$5)*(1+U16))</f>
        <v>108.295735129068</v>
      </c>
      <c r="AF16" s="15" t="str">
        <f>IF(Y16&gt;='前提条件'!$B$14,"◎ 15%以上",IF(Y16&gt;='前提条件'!$B$16,"△ 条件付き","× 除外"))</f>
        <v>△ 条件付き</v>
      </c>
      <c r="AG16" s="15" t="inlineStr">
        <is>
          <t>上限価格帯でしか成立しない。100mm静音キャスター＋棚マット＋バンパーで¥12,980以上を取れれば15%到達</t>
        </is>
      </c>
      <c r="AH16" s="18" t="inlineStr">
        <is>
          <t>https://www.amazon.co.jp/dp/B074J5WJ36</t>
        </is>
      </c>
      <c r="AI16" s="18" t="inlineStr">
        <is>
          <t>1688で検索</t>
        </is>
      </c>
      <c r="AJ16" s="18" t="inlineStr">
        <is>
          <t>Amazonで検索</t>
        </is>
      </c>
    </row>
    <row r="17" ht="60" customHeight="1">
      <c r="A17" s="28" t="n">
        <v>13</v>
      </c>
      <c r="B17" s="28" t="n">
        <v>28</v>
      </c>
      <c r="C17" s="28" t="inlineStr">
        <is>
          <t>追加30</t>
        </is>
      </c>
      <c r="D17" s="14" t="inlineStr">
        <is>
          <t>筋トレ用品収納ラック</t>
        </is>
      </c>
      <c r="E17" s="16" t="inlineStr">
        <is>
          <t>スポーツ&amp;アウトドア</t>
        </is>
      </c>
      <c r="F17" s="17">
        <f>IFERROR(INDEX('前提条件'!$B$20:$B$28,MATCH(E17,'前提条件'!$A$20:$A$28,0)),'前提条件'!$B$20)</f>
        <v>0.104</v>
      </c>
      <c r="G17" s="19" t="n">
        <v>19800</v>
      </c>
      <c r="H17" s="15" t="inlineStr">
        <is>
          <t>スチール3段・400kg等。価格未確認</t>
        </is>
      </c>
      <c r="I17" s="24" t="n"/>
      <c r="J17" s="20" t="n">
        <v>250</v>
      </c>
      <c r="K17" s="19" t="n">
        <v>400</v>
      </c>
      <c r="L17" s="13" t="n">
        <v>120</v>
      </c>
      <c r="M17" s="13" t="n">
        <v>50</v>
      </c>
      <c r="N17" s="13" t="n">
        <v>15</v>
      </c>
      <c r="O17" s="21" t="n">
        <v>38</v>
      </c>
      <c r="P17" s="22">
        <f>L17+M17+N17</f>
        <v>185</v>
      </c>
      <c r="Q17" s="23">
        <f>L17*M17*N17/1000000</f>
        <v>0.09</v>
      </c>
      <c r="R17" s="22">
        <f>MAX(MATCH(P17,'前提条件'!$C$34:$C$46,1),INDEX('前提条件'!$J$34:$J$41,MATCH(O17,'前提条件'!$H$34:$H$41,1)))</f>
        <v>9</v>
      </c>
      <c r="S17" s="15" t="str">
        <f>INDEX('前提条件'!$B$34:$B$46,R17)</f>
        <v>200サイズ</v>
      </c>
      <c r="T17" s="24">
        <f>INDEX('前提条件'!$E$34:$E$46,R17)*'前提条件'!$B$7</f>
        <v>2700</v>
      </c>
      <c r="U17" s="25" t="n">
        <v>0</v>
      </c>
      <c r="V17" s="24">
        <f>J17*'前提条件'!$B$4*(1+'前提条件'!$B$5)+K17+Q17*'前提条件'!$B$6+(J17*'前提条件'!$B$4*(1+'前提条件'!$B$5)+Q17*'前提条件'!$B$6)*U17</f>
        <v>7960</v>
      </c>
      <c r="W17" s="24">
        <f>G17/(1+'前提条件'!$B$13)</f>
        <v>18000</v>
      </c>
      <c r="X17" s="24">
        <f>W17*(1-'前提条件'!$B$8-'前提条件'!$B$9)-G17*F17-T17-Q17*'前提条件'!$B$10*'前提条件'!$B$11-'前提条件'!$B$12-V17</f>
        <v>2055.8</v>
      </c>
      <c r="Y17" s="17">
        <f>IF(W17&gt;0,X17/W17,0)</f>
        <v>0.114211111111111</v>
      </c>
      <c r="Z17" s="17">
        <f>IF(W17&gt;0,(X17+W17*'前提条件'!$B$8)/W17,0)</f>
        <v>0.214211111111111</v>
      </c>
      <c r="AA17" s="13" t="n">
        <v>40</v>
      </c>
      <c r="AB17" s="24">
        <f>X17*AA17</f>
        <v>82232</v>
      </c>
      <c r="AC17" s="22">
        <f>IF(X17&gt;0,ROUNDUP('前提条件'!$B$15/X17,0),"赤字")</f>
        <v>487</v>
      </c>
      <c r="AD17" s="24">
        <f>T17+(X17-'前提条件'!$B$14*W17)</f>
        <v>2055.8</v>
      </c>
      <c r="AE17" s="26">
        <f>J17+(X17-'前提条件'!$B$14*W17)/('前提条件'!$B$4*(1+'前提条件'!$B$5)*(1+U17))</f>
        <v>225.146604938272</v>
      </c>
      <c r="AF17" s="15" t="str">
        <f>IF(Y17&gt;='前提条件'!$B$14,"◎ 15%以上",IF(Y17&gt;='前提条件'!$B$16,"△ 条件付き","× 除外"))</f>
        <v>△ 条件付き</v>
      </c>
      <c r="AG17" s="15" t="inlineStr">
        <is>
          <t>38kg・200サイズ。ホームジム需要は堅いが送料が重い</t>
        </is>
      </c>
      <c r="AH17" s="18" t="inlineStr">
        <is>
          <t>https://search.kakaku.com/%E3%83%80%E3%83%B3%E3%83%99%E3%83%AB%E3%83%A9%E3%83%83%E3%82%AF/</t>
        </is>
      </c>
      <c r="AI17" s="18" t="inlineStr">
        <is>
          <t>1688で検索</t>
        </is>
      </c>
      <c r="AJ17" s="18" t="inlineStr">
        <is>
          <t>Amazonで検索</t>
        </is>
      </c>
    </row>
    <row r="18" ht="60" customHeight="1">
      <c r="A18" s="28" t="n">
        <v>14</v>
      </c>
      <c r="B18" s="28" t="n">
        <v>18</v>
      </c>
      <c r="C18" s="28" t="inlineStr">
        <is>
          <t>追加30</t>
        </is>
      </c>
      <c r="D18" s="14" t="inlineStr">
        <is>
          <t>大型観葉植物ラック</t>
        </is>
      </c>
      <c r="E18" s="16" t="inlineStr">
        <is>
          <t>DIY・工具・ガーデン</t>
        </is>
      </c>
      <c r="F18" s="17">
        <f>IFERROR(INDEX('前提条件'!$B$20:$B$28,MATCH(E18,'前提条件'!$A$20:$A$28,0)),'前提条件'!$B$20)</f>
        <v>0.154</v>
      </c>
      <c r="G18" s="19" t="n">
        <v>6980</v>
      </c>
      <c r="H18" s="15" t="inlineStr">
        <is>
          <t>Yahoo! 6段¥3,980・4段¥6,980（検索結果）</t>
        </is>
      </c>
      <c r="I18" s="24" t="n"/>
      <c r="J18" s="20" t="n">
        <v>50</v>
      </c>
      <c r="K18" s="19" t="n">
        <v>200</v>
      </c>
      <c r="L18" s="13" t="n">
        <v>90</v>
      </c>
      <c r="M18" s="13" t="n">
        <v>35</v>
      </c>
      <c r="N18" s="13" t="n">
        <v>12</v>
      </c>
      <c r="O18" s="21" t="n">
        <v>8</v>
      </c>
      <c r="P18" s="22">
        <f>L18+M18+N18</f>
        <v>137</v>
      </c>
      <c r="Q18" s="23">
        <f>L18*M18*N18/1000000</f>
        <v>0.0378</v>
      </c>
      <c r="R18" s="22">
        <f>MAX(MATCH(P18,'前提条件'!$C$34:$C$46,1),INDEX('前提条件'!$J$34:$J$41,MATCH(O18,'前提条件'!$H$34:$H$41,1)))</f>
        <v>5</v>
      </c>
      <c r="S18" s="15" t="str">
        <f>INDEX('前提条件'!$B$34:$B$46,R18)</f>
        <v>140サイズ</v>
      </c>
      <c r="T18" s="24">
        <f>INDEX('前提条件'!$E$34:$E$46,R18)*'前提条件'!$B$7</f>
        <v>1250</v>
      </c>
      <c r="U18" s="25" t="n">
        <v>0</v>
      </c>
      <c r="V18" s="24">
        <f>J18*'前提条件'!$B$4*(1+'前提条件'!$B$5)+K18+Q18*'前提条件'!$B$6+(J18*'前提条件'!$B$4*(1+'前提条件'!$B$5)+Q18*'前提条件'!$B$6)*U18</f>
        <v>1949.6</v>
      </c>
      <c r="W18" s="24">
        <f>G18/(1+'前提条件'!$B$13)</f>
        <v>6345.45454545455</v>
      </c>
      <c r="X18" s="24">
        <f>W18*(1-'前提条件'!$B$8-'前提条件'!$B$9)-G18*F18-T18-Q18*'前提条件'!$B$10*'前提条件'!$B$11-'前提条件'!$B$12-V18</f>
        <v>712.470909090909</v>
      </c>
      <c r="Y18" s="17">
        <f>IF(W18&gt;0,X18/W18,0)</f>
        <v>0.112280515759312</v>
      </c>
      <c r="Z18" s="17">
        <f>IF(W18&gt;0,(X18+W18*'前提条件'!$B$8)/W18,0)</f>
        <v>0.212280515759312</v>
      </c>
      <c r="AA18" s="13" t="n">
        <v>150</v>
      </c>
      <c r="AB18" s="24">
        <f>X18*AA18</f>
        <v>106870.636363636</v>
      </c>
      <c r="AC18" s="22">
        <f>IF(X18&gt;0,ROUNDUP('前提条件'!$B$15/X18,0),"赤字")</f>
        <v>1404</v>
      </c>
      <c r="AD18" s="24">
        <f>T18+(X18-'前提条件'!$B$14*W18)</f>
        <v>1010.65272727273</v>
      </c>
      <c r="AE18" s="26">
        <f>J18+(X18-'前提条件'!$B$14*W18)/('前提条件'!$B$4*(1+'前提条件'!$B$5)*(1+U18))</f>
        <v>40.7659231200898</v>
      </c>
      <c r="AF18" s="15" t="str">
        <f>IF(Y18&gt;='前提条件'!$B$14,"◎ 15%以上",IF(Y18&gt;='前提条件'!$B$16,"△ 条件付き","× 除外"))</f>
        <v>△ 条件付き</v>
      </c>
      <c r="AG18" s="15" t="inlineStr">
        <is>
          <t>低単価帯。育成ライト付きなど¥8,980以上で売れる仕様なら再評価</t>
        </is>
      </c>
      <c r="AH18" s="18" t="inlineStr">
        <is>
          <t>https://shopping.yahoo.co.jp/search/%E8%A6%B3%E8%91%89%E6%A4%8D%E7%89%A9+%E3%83%A9%E3%83%83%E3%82%AF/0/</t>
        </is>
      </c>
      <c r="AI18" s="18" t="inlineStr">
        <is>
          <t>1688で検索</t>
        </is>
      </c>
      <c r="AJ18" s="18" t="inlineStr">
        <is>
          <t>Amazonで検索</t>
        </is>
      </c>
    </row>
    <row r="19" ht="60" customHeight="1">
      <c r="A19" s="28" t="n">
        <v>15</v>
      </c>
      <c r="B19" s="28" t="n">
        <v>4</v>
      </c>
      <c r="C19" s="28" t="inlineStr">
        <is>
          <t>上位10</t>
        </is>
      </c>
      <c r="D19" s="14" t="inlineStr">
        <is>
          <t>業務用リネン回収カート</t>
        </is>
      </c>
      <c r="E19" s="16" t="inlineStr">
        <is>
          <t>産業・研究開発用品</t>
        </is>
      </c>
      <c r="F19" s="17">
        <f>IFERROR(INDEX('前提条件'!$B$20:$B$28,MATCH(E19,'前提条件'!$A$20:$A$28,0)),'前提条件'!$B$20)</f>
        <v>0.154</v>
      </c>
      <c r="G19" s="19" t="n">
        <v>17800</v>
      </c>
      <c r="H19" s="15" t="inlineStr">
        <is>
          <t>PANCY 約400L（88×64×78・8本パイプ）等。価格未確認</t>
        </is>
      </c>
      <c r="I19" s="24" t="n">
        <v>19800</v>
      </c>
      <c r="J19" s="20" t="n">
        <v>180</v>
      </c>
      <c r="K19" s="19" t="n">
        <v>500</v>
      </c>
      <c r="L19" s="13" t="n">
        <v>92</v>
      </c>
      <c r="M19" s="13" t="n">
        <v>62</v>
      </c>
      <c r="N19" s="13" t="n">
        <v>18</v>
      </c>
      <c r="O19" s="21" t="n">
        <v>14</v>
      </c>
      <c r="P19" s="22">
        <f>L19+M19+N19</f>
        <v>172</v>
      </c>
      <c r="Q19" s="23">
        <f>L19*M19*N19/1000000</f>
        <v>0.102672</v>
      </c>
      <c r="R19" s="22">
        <f>MAX(MATCH(P19,'前提条件'!$C$34:$C$46,1),INDEX('前提条件'!$J$34:$J$41,MATCH(O19,'前提条件'!$H$34:$H$41,1)))</f>
        <v>8</v>
      </c>
      <c r="S19" s="15" t="str">
        <f>INDEX('前提条件'!$B$34:$B$46,R19)</f>
        <v>180サイズ</v>
      </c>
      <c r="T19" s="24">
        <f>INDEX('前提条件'!$E$34:$E$46,R19)*'前提条件'!$B$7</f>
        <v>2200</v>
      </c>
      <c r="U19" s="25" t="n">
        <v>0</v>
      </c>
      <c r="V19" s="24">
        <f>J19*'前提条件'!$B$4*(1+'前提条件'!$B$5)+K19+Q19*'前提条件'!$B$6+(J19*'前提条件'!$B$4*(1+'前提条件'!$B$5)+Q19*'前提条件'!$B$6)*U19</f>
        <v>6397.664</v>
      </c>
      <c r="W19" s="24">
        <f>G19/(1+'前提条件'!$B$13)</f>
        <v>16181.8181818182</v>
      </c>
      <c r="X19" s="24">
        <f>W19*(1-'前提条件'!$B$8-'前提条件'!$B$9)-G19*F19-T19-Q19*'前提条件'!$B$10*'前提条件'!$B$11-'前提条件'!$B$12-V19</f>
        <v>1815.47563636364</v>
      </c>
      <c r="Y19" s="17">
        <f>IF(W19&gt;0,X19/W19,0)</f>
        <v>0.112192314606742</v>
      </c>
      <c r="Z19" s="17">
        <f>IF(W19&gt;0,(X19+W19*'前提条件'!$B$8)/W19,0)</f>
        <v>0.212192314606742</v>
      </c>
      <c r="AA19" s="13" t="n">
        <v>40</v>
      </c>
      <c r="AB19" s="24">
        <f>X19*AA19</f>
        <v>72619.0254545454</v>
      </c>
      <c r="AC19" s="22">
        <f>IF(X19&gt;0,ROUNDUP('前提条件'!$B$15/X19,0),"赤字")</f>
        <v>551</v>
      </c>
      <c r="AD19" s="24">
        <f>T19+(X19-'前提条件'!$B$14*W19)</f>
        <v>1588.20290909091</v>
      </c>
      <c r="AE19" s="26">
        <f>J19+(X19-'前提条件'!$B$14*W19)/('前提条件'!$B$4*(1+'前提条件'!$B$5)*(1+U19))</f>
        <v>156.396717171717</v>
      </c>
      <c r="AF19" s="15" t="str">
        <f>IF(Y19&gt;='前提条件'!$B$14,"◎ 15%以上",IF(Y19&gt;='前提条件'!$B$16,"△ 条件付き","× 除外"))</f>
        <v>△ 条件付き</v>
      </c>
      <c r="AG19" s="15" t="inlineStr">
        <is>
          <t>B2B（ホテル・民泊・介護）で単価は取れるが月販が小さい。交換用バッグ・キャスターの継続販売で補う。静音キャスターが選定ポイント</t>
        </is>
      </c>
      <c r="AH19" s="18" t="inlineStr">
        <is>
          <t>https://www.amazon.co.jp/dp/B0DDC8VVM2</t>
        </is>
      </c>
      <c r="AI19" s="18" t="inlineStr">
        <is>
          <t>1688で検索</t>
        </is>
      </c>
      <c r="AJ19" s="18" t="inlineStr">
        <is>
          <t>Amazonで検索</t>
        </is>
      </c>
    </row>
    <row r="20" ht="60" customHeight="1">
      <c r="A20" s="28" t="n">
        <v>16</v>
      </c>
      <c r="B20" s="28" t="n">
        <v>5</v>
      </c>
      <c r="C20" s="28" t="inlineStr">
        <is>
          <t>上位10</t>
        </is>
      </c>
      <c r="D20" s="14" t="inlineStr">
        <is>
          <t>園芸用ポッティングベンチ</t>
        </is>
      </c>
      <c r="E20" s="16" t="inlineStr">
        <is>
          <t>DIY・工具・ガーデン</t>
        </is>
      </c>
      <c r="F20" s="17">
        <f>IFERROR(INDEX('前提条件'!$B$20:$B$28,MATCH(E20,'前提条件'!$A$20:$A$28,0)),'前提条件'!$B$20)</f>
        <v>0.154</v>
      </c>
      <c r="G20" s="19" t="n">
        <v>17980</v>
      </c>
      <c r="H20" s="15" t="inlineStr">
        <is>
          <t>Yahoo! 36インチ木製¥17,243／天然木パネル型¥29,800〜34,800</t>
        </is>
      </c>
      <c r="I20" s="24" t="n">
        <v>17980</v>
      </c>
      <c r="J20" s="20" t="n">
        <v>170</v>
      </c>
      <c r="K20" s="19" t="n">
        <v>400</v>
      </c>
      <c r="L20" s="13" t="n">
        <v>125</v>
      </c>
      <c r="M20" s="13" t="n">
        <v>55</v>
      </c>
      <c r="N20" s="13" t="n">
        <v>15</v>
      </c>
      <c r="O20" s="21" t="n">
        <v>20</v>
      </c>
      <c r="P20" s="22">
        <f>L20+M20+N20</f>
        <v>195</v>
      </c>
      <c r="Q20" s="23">
        <f>L20*M20*N20/1000000</f>
        <v>0.103125</v>
      </c>
      <c r="R20" s="22">
        <f>MAX(MATCH(P20,'前提条件'!$C$34:$C$46,1),INDEX('前提条件'!$J$34:$J$41,MATCH(O20,'前提条件'!$H$34:$H$41,1)))</f>
        <v>9</v>
      </c>
      <c r="S20" s="15" t="str">
        <f>INDEX('前提条件'!$B$34:$B$46,R20)</f>
        <v>200サイズ</v>
      </c>
      <c r="T20" s="24">
        <f>INDEX('前提条件'!$E$34:$E$46,R20)*'前提条件'!$B$7</f>
        <v>2700</v>
      </c>
      <c r="U20" s="25" t="n">
        <v>0</v>
      </c>
      <c r="V20" s="24">
        <f>J20*'前提条件'!$B$4*(1+'前提条件'!$B$5)+K20+Q20*'前提条件'!$B$6+(J20*'前提条件'!$B$4*(1+'前提条件'!$B$5)+Q20*'前提条件'!$B$6)*U20</f>
        <v>6043.9</v>
      </c>
      <c r="W20" s="24">
        <f>G20/(1+'前提条件'!$B$13)</f>
        <v>16345.4545454545</v>
      </c>
      <c r="X20" s="24">
        <f>W20*(1-'前提条件'!$B$8-'前提条件'!$B$9)-G20*F20-T20-Q20*'前提条件'!$B$10*'前提条件'!$B$11-'前提条件'!$B$12-V20</f>
        <v>1780.20840909091</v>
      </c>
      <c r="Y20" s="17">
        <f>IF(W20&gt;0,X20/W20,0)</f>
        <v>0.108911526696329</v>
      </c>
      <c r="Z20" s="17">
        <f>IF(W20&gt;0,(X20+W20*'前提条件'!$B$8)/W20,0)</f>
        <v>0.208911526696329</v>
      </c>
      <c r="AA20" s="13" t="n">
        <v>40</v>
      </c>
      <c r="AB20" s="24">
        <f>X20*AA20</f>
        <v>71208.3363636363</v>
      </c>
      <c r="AC20" s="22">
        <f>IF(X20&gt;0,ROUNDUP('前提条件'!$B$15/X20,0),"赤字")</f>
        <v>562</v>
      </c>
      <c r="AD20" s="24">
        <f>T20+(X20-'前提条件'!$B$14*W20)</f>
        <v>2028.39022727273</v>
      </c>
      <c r="AE20" s="26">
        <f>J20+(X20-'前提条件'!$B$14*W20)/('前提条件'!$B$4*(1+'前提条件'!$B$5)*(1+U20))</f>
        <v>144.089129138608</v>
      </c>
      <c r="AF20" s="15" t="str">
        <f>IF(Y20&gt;='前提条件'!$B$14,"◎ 15%以上",IF(Y20&gt;='前提条件'!$B$16,"△ 条件付き","× 除外"))</f>
        <v>△ 条件付き</v>
      </c>
      <c r="AG20" s="15" t="inlineStr">
        <is>
          <t>200サイズ送料。防腐処理・亜鉛天板トレー等で¥19,800以上を取れれば再評価。組立の複雑さ・防腐が不満点</t>
        </is>
      </c>
      <c r="AH20" s="18" t="inlineStr">
        <is>
          <t>https://www.amazon.co.jp/dp/B0D9GJ5W3W</t>
        </is>
      </c>
      <c r="AI20" s="18" t="inlineStr">
        <is>
          <t>1688で検索</t>
        </is>
      </c>
      <c r="AJ20" s="18" t="inlineStr">
        <is>
          <t>Amazonで検索</t>
        </is>
      </c>
    </row>
    <row r="21" ht="60" customHeight="1">
      <c r="A21" s="28" t="n">
        <v>17</v>
      </c>
      <c r="B21" s="28" t="n">
        <v>15</v>
      </c>
      <c r="C21" s="28" t="inlineStr">
        <is>
          <t>追加30</t>
        </is>
      </c>
      <c r="D21" s="14" t="inlineStr">
        <is>
          <t>頑丈ハンガーラック</t>
        </is>
      </c>
      <c r="E21" s="16" t="inlineStr">
        <is>
          <t>ホーム&amp;キッチン</t>
        </is>
      </c>
      <c r="F21" s="17">
        <f>IFERROR(INDEX('前提条件'!$B$20:$B$28,MATCH(E21,'前提条件'!$A$20:$A$28,0)),'前提条件'!$B$20)</f>
        <v>0.154</v>
      </c>
      <c r="G21" s="19" t="n">
        <v>7980</v>
      </c>
      <c r="H21" s="15" t="inlineStr">
        <is>
          <t>山善 MKS-WS（幅86-140伸縮）、ストロンガー HR-120（100kg）等。価格未確認</t>
        </is>
      </c>
      <c r="I21" s="24" t="n"/>
      <c r="J21" s="20" t="n">
        <v>75</v>
      </c>
      <c r="K21" s="19" t="n">
        <v>200</v>
      </c>
      <c r="L21" s="13" t="n">
        <v>122</v>
      </c>
      <c r="M21" s="13" t="n">
        <v>16</v>
      </c>
      <c r="N21" s="13" t="n">
        <v>12</v>
      </c>
      <c r="O21" s="21" t="n">
        <v>11</v>
      </c>
      <c r="P21" s="22">
        <f>L21+M21+N21</f>
        <v>150</v>
      </c>
      <c r="Q21" s="23">
        <f>L21*M21*N21/1000000</f>
        <v>0.023424</v>
      </c>
      <c r="R21" s="22">
        <f>MAX(MATCH(P21,'前提条件'!$C$34:$C$46,1),INDEX('前提条件'!$J$34:$J$41,MATCH(O21,'前提条件'!$H$34:$H$41,1)))</f>
        <v>6</v>
      </c>
      <c r="S21" s="15" t="str">
        <f>INDEX('前提条件'!$B$34:$B$46,R21)</f>
        <v>160サイズ</v>
      </c>
      <c r="T21" s="24">
        <f>INDEX('前提条件'!$E$34:$E$46,R21)*'前提条件'!$B$7</f>
        <v>1450</v>
      </c>
      <c r="U21" s="25" t="n">
        <v>0</v>
      </c>
      <c r="V21" s="24">
        <f>J21*'前提条件'!$B$4*(1+'前提条件'!$B$5)+K21+Q21*'前提条件'!$B$6+(J21*'前提条件'!$B$4*(1+'前提条件'!$B$5)+Q21*'前提条件'!$B$6)*U21</f>
        <v>2425.088</v>
      </c>
      <c r="W21" s="24">
        <f>G21/(1+'前提条件'!$B$13)</f>
        <v>7254.54545454545</v>
      </c>
      <c r="X21" s="24">
        <f>W21*(1-'前提条件'!$B$8-'前提条件'!$B$9)-G21*F21-T21-Q21*'前提条件'!$B$10*'前提条件'!$B$11-'前提条件'!$B$12-V21</f>
        <v>729.49309090909</v>
      </c>
      <c r="Y21" s="17">
        <f>IF(W21&gt;0,X21/W21,0)</f>
        <v>0.100556691729323</v>
      </c>
      <c r="Z21" s="17">
        <f>IF(W21&gt;0,(X21+W21*'前提条件'!$B$8)/W21,0)</f>
        <v>0.200556691729323</v>
      </c>
      <c r="AA21" s="13" t="n">
        <v>200</v>
      </c>
      <c r="AB21" s="24">
        <f>X21*AA21</f>
        <v>145898.618181818</v>
      </c>
      <c r="AC21" s="22">
        <f>IF(X21&gt;0,ROUNDUP('前提条件'!$B$15/X21,0),"赤字")</f>
        <v>1371</v>
      </c>
      <c r="AD21" s="24">
        <f>T21+(X21-'前提条件'!$B$14*W21)</f>
        <v>1091.31127272727</v>
      </c>
      <c r="AE21" s="26">
        <f>J21+(X21-'前提条件'!$B$14*W21)/('前提条件'!$B$4*(1+'前提条件'!$B$5)*(1+U21))</f>
        <v>61.1617003367003</v>
      </c>
      <c r="AF21" s="15" t="str">
        <f>IF(Y21&gt;='前提条件'!$B$14,"◎ 15%以上",IF(Y21&gt;='前提条件'!$B$16,"△ 条件付き","× 除外"))</f>
        <v>△ 条件付き</v>
      </c>
      <c r="AG21" s="15" t="inlineStr">
        <is>
          <t>国内大手（山善・アイリス）が強く単価が上がらない。業務用100kg超・高さ調整12段で¥8,980以上なら再評価</t>
        </is>
      </c>
      <c r="AH21" s="18" t="inlineStr">
        <is>
          <t>https://www.amazon.co.jp/dp/B0C9CMC968</t>
        </is>
      </c>
      <c r="AI21" s="18" t="inlineStr">
        <is>
          <t>1688で検索</t>
        </is>
      </c>
      <c r="AJ21" s="18" t="inlineStr">
        <is>
          <t>Amazonで検索</t>
        </is>
      </c>
    </row>
    <row r="22" ht="60" customHeight="1">
      <c r="A22" s="28" t="n">
        <v>18</v>
      </c>
      <c r="B22" s="28" t="n">
        <v>23</v>
      </c>
      <c r="C22" s="28" t="inlineStr">
        <is>
          <t>追加30</t>
        </is>
      </c>
      <c r="D22" s="14" t="inlineStr">
        <is>
          <t>犬用折りたたみスロープ</t>
        </is>
      </c>
      <c r="E22" s="16" t="inlineStr">
        <is>
          <t>ペット用品</t>
        </is>
      </c>
      <c r="F22" s="17">
        <f>IFERROR(INDEX('前提条件'!$B$20:$B$28,MATCH(E22,'前提条件'!$A$20:$A$28,0)),'前提条件'!$B$20)</f>
        <v>0.154</v>
      </c>
      <c r="G22" s="19" t="n">
        <v>8980</v>
      </c>
      <c r="H22" s="15" t="inlineStr">
        <is>
          <t>耐荷重75kg二つ折り等。価格未確認</t>
        </is>
      </c>
      <c r="I22" s="24" t="n"/>
      <c r="J22" s="20" t="n">
        <v>80</v>
      </c>
      <c r="K22" s="19" t="n">
        <v>300</v>
      </c>
      <c r="L22" s="13" t="n">
        <v>100</v>
      </c>
      <c r="M22" s="13" t="n">
        <v>45</v>
      </c>
      <c r="N22" s="13" t="n">
        <v>10</v>
      </c>
      <c r="O22" s="21" t="n">
        <v>8</v>
      </c>
      <c r="P22" s="22">
        <f>L22+M22+N22</f>
        <v>155</v>
      </c>
      <c r="Q22" s="23">
        <f>L22*M22*N22/1000000</f>
        <v>0.045</v>
      </c>
      <c r="R22" s="22">
        <f>MAX(MATCH(P22,'前提条件'!$C$34:$C$46,1),INDEX('前提条件'!$J$34:$J$41,MATCH(O22,'前提条件'!$H$34:$H$41,1)))</f>
        <v>6</v>
      </c>
      <c r="S22" s="15" t="str">
        <f>INDEX('前提条件'!$B$34:$B$46,R22)</f>
        <v>160サイズ</v>
      </c>
      <c r="T22" s="24">
        <f>INDEX('前提条件'!$E$34:$E$46,R22)*'前提条件'!$B$7</f>
        <v>1450</v>
      </c>
      <c r="U22" s="25" t="n">
        <v>0</v>
      </c>
      <c r="V22" s="24">
        <f>J22*'前提条件'!$B$4*(1+'前提条件'!$B$5)+K22+Q22*'前提条件'!$B$6+(J22*'前提条件'!$B$4*(1+'前提条件'!$B$5)+Q22*'前提条件'!$B$6)*U22</f>
        <v>2913.6</v>
      </c>
      <c r="W22" s="24">
        <f>G22/(1+'前提条件'!$B$13)</f>
        <v>8163.63636363636</v>
      </c>
      <c r="X22" s="24">
        <f>W22*(1-'前提条件'!$B$8-'前提条件'!$B$9)-G22*F22-T22-Q22*'前提条件'!$B$10*'前提条件'!$B$11-'前提条件'!$B$12-V22</f>
        <v>771.707272727272</v>
      </c>
      <c r="Y22" s="17">
        <f>IF(W22&gt;0,X22/W22,0)</f>
        <v>0.0945298440979954</v>
      </c>
      <c r="Z22" s="17">
        <f>IF(W22&gt;0,(X22+W22*'前提条件'!$B$8)/W22,0)</f>
        <v>0.194529844097995</v>
      </c>
      <c r="AA22" s="13" t="n">
        <v>80</v>
      </c>
      <c r="AB22" s="24">
        <f>X22*AA22</f>
        <v>61736.5818181817</v>
      </c>
      <c r="AC22" s="22">
        <f>IF(X22&gt;0,ROUNDUP('前提条件'!$B$15/X22,0),"赤字")</f>
        <v>1296</v>
      </c>
      <c r="AD22" s="24">
        <f>T22+(X22-'前提条件'!$B$14*W22)</f>
        <v>997.161818181817</v>
      </c>
      <c r="AE22" s="26">
        <f>J22+(X22-'前提条件'!$B$14*W22)/('前提条件'!$B$4*(1+'前提条件'!$B$5)*(1+U22))</f>
        <v>62.5293911335578</v>
      </c>
      <c r="AF22" s="15" t="str">
        <f>IF(Y22&gt;='前提条件'!$B$14,"◎ 15%以上",IF(Y22&gt;='前提条件'!$B$16,"△ 条件付き","× 除外"))</f>
        <v>× 除外</v>
      </c>
      <c r="AG22" s="15" t="inlineStr">
        <is>
          <t>160サイズ送料に対して単価が低い</t>
        </is>
      </c>
      <c r="AH22" s="18" t="inlineStr">
        <is>
          <t>https://search.kakaku.com/%E7%8A%AC%20%E3%82%B9%E3%83%AD%E3%83%BC%E3%83%97/</t>
        </is>
      </c>
      <c r="AI22" s="18" t="inlineStr">
        <is>
          <t>1688で検索</t>
        </is>
      </c>
      <c r="AJ22" s="18" t="inlineStr">
        <is>
          <t>Amazonで検索</t>
        </is>
      </c>
    </row>
    <row r="23" ht="60" customHeight="1">
      <c r="A23" s="28" t="n">
        <v>19</v>
      </c>
      <c r="B23" s="28" t="n">
        <v>14</v>
      </c>
      <c r="C23" s="28" t="inlineStr">
        <is>
          <t>追加30</t>
        </is>
      </c>
      <c r="D23" s="14" t="inlineStr">
        <is>
          <t>キッチンアイランドワゴン</t>
        </is>
      </c>
      <c r="E23" s="16" t="inlineStr">
        <is>
          <t>ホーム&amp;キッチン</t>
        </is>
      </c>
      <c r="F23" s="17">
        <f>IFERROR(INDEX('前提条件'!$B$20:$B$28,MATCH(E23,'前提条件'!$A$20:$A$28,0)),'前提条件'!$B$20)</f>
        <v>0.154</v>
      </c>
      <c r="G23" s="19" t="n">
        <v>24800</v>
      </c>
      <c r="H23" s="15" t="inlineStr">
        <is>
          <t>楽天1位 幅80・バタフライ天板・両扉／回転バスケット型 ¥5,800</t>
        </is>
      </c>
      <c r="I23" s="24" t="n"/>
      <c r="J23" s="20" t="n">
        <v>300</v>
      </c>
      <c r="K23" s="19" t="n">
        <v>400</v>
      </c>
      <c r="L23" s="13" t="n">
        <v>108</v>
      </c>
      <c r="M23" s="13" t="n">
        <v>58</v>
      </c>
      <c r="N23" s="13" t="n">
        <v>22</v>
      </c>
      <c r="O23" s="21" t="n">
        <v>36</v>
      </c>
      <c r="P23" s="22">
        <f>L23+M23+N23</f>
        <v>188</v>
      </c>
      <c r="Q23" s="23">
        <f>L23*M23*N23/1000000</f>
        <v>0.137808</v>
      </c>
      <c r="R23" s="22">
        <f>MAX(MATCH(P23,'前提条件'!$C$34:$C$46,1),INDEX('前提条件'!$J$34:$J$41,MATCH(O23,'前提条件'!$H$34:$H$41,1)))</f>
        <v>9</v>
      </c>
      <c r="S23" s="15" t="str">
        <f>INDEX('前提条件'!$B$34:$B$46,R23)</f>
        <v>200サイズ</v>
      </c>
      <c r="T23" s="24">
        <f>INDEX('前提条件'!$E$34:$E$46,R23)*'前提条件'!$B$7</f>
        <v>2700</v>
      </c>
      <c r="U23" s="25" t="n">
        <v>0</v>
      </c>
      <c r="V23" s="24">
        <f>J23*'前提条件'!$B$4*(1+'前提条件'!$B$5)+K23+Q23*'前提条件'!$B$6+(J23*'前提条件'!$B$4*(1+'前提条件'!$B$5)+Q23*'前提条件'!$B$6)*U23</f>
        <v>9829.696</v>
      </c>
      <c r="W23" s="24">
        <f>G23/(1+'前提条件'!$B$13)</f>
        <v>22545.4545454545</v>
      </c>
      <c r="X23" s="24">
        <f>W23*(1-'前提条件'!$B$8-'前提条件'!$B$9)-G23*F23-T23-Q23*'前提条件'!$B$10*'前提条件'!$B$11-'前提条件'!$B$12-V23</f>
        <v>2120.05890909091</v>
      </c>
      <c r="Y23" s="17">
        <f>IF(W23&gt;0,X23/W23,0)</f>
        <v>0.0940348709677418</v>
      </c>
      <c r="Z23" s="17">
        <f>IF(W23&gt;0,(X23+W23*'前提条件'!$B$8)/W23,0)</f>
        <v>0.194034870967742</v>
      </c>
      <c r="AA23" s="13" t="n">
        <v>80</v>
      </c>
      <c r="AB23" s="24">
        <f>X23*AA23</f>
        <v>169604.712727272</v>
      </c>
      <c r="AC23" s="22">
        <f>IF(X23&gt;0,ROUNDUP('前提条件'!$B$15/X23,0),"赤字")</f>
        <v>472</v>
      </c>
      <c r="AD23" s="24">
        <f>T23+(X23-'前提条件'!$B$14*W23)</f>
        <v>1438.24072727272</v>
      </c>
      <c r="AE23" s="26">
        <f>J23+(X23-'前提条件'!$B$14*W23)/('前提条件'!$B$4*(1+'前提条件'!$B$5)*(1+U23))</f>
        <v>251.321015712682</v>
      </c>
      <c r="AF23" s="15" t="str">
        <f>IF(Y23&gt;='前提条件'!$B$14,"◎ 15%以上",IF(Y23&gt;='前提条件'!$B$16,"△ 条件付き","× 除外"))</f>
        <v>× 除外</v>
      </c>
      <c r="AG23" s="15" t="inlineStr">
        <is>
          <t>36kg・200サイズ。¥29,800以上を取れるデザイン性（タイル天板・天然木）なら再評価</t>
        </is>
      </c>
      <c r="AH23" s="18" t="inlineStr">
        <is>
          <t>https://ranking.rakuten.co.jp/daily/406380/</t>
        </is>
      </c>
      <c r="AI23" s="18" t="inlineStr">
        <is>
          <t>1688で検索</t>
        </is>
      </c>
      <c r="AJ23" s="18" t="inlineStr">
        <is>
          <t>Amazonで検索</t>
        </is>
      </c>
    </row>
    <row r="24" ht="60" customHeight="1">
      <c r="A24" s="28" t="n">
        <v>20</v>
      </c>
      <c r="B24" s="28" t="n">
        <v>6</v>
      </c>
      <c r="C24" s="28" t="inlineStr">
        <is>
          <t>上位10</t>
        </is>
      </c>
      <c r="D24" s="14" t="inlineStr">
        <is>
          <t>EC出荷用梱包作業台</t>
        </is>
      </c>
      <c r="E24" s="16" t="inlineStr">
        <is>
          <t>産業・研究開発用品</t>
        </is>
      </c>
      <c r="F24" s="17">
        <f>IFERROR(INDEX('前提条件'!$B$20:$B$28,MATCH(E24,'前提条件'!$A$20:$A$28,0)),'前提条件'!$B$20)</f>
        <v>0.154</v>
      </c>
      <c r="G24" s="19" t="n">
        <v>24800</v>
      </c>
      <c r="H24" s="15" t="inlineStr">
        <is>
          <t>国内B2B（サンワ RAC-WDK10070W、モノタロウ、シモジマ等）と競合。価格未確認</t>
        </is>
      </c>
      <c r="I24" s="24" t="n">
        <v>21980</v>
      </c>
      <c r="J24" s="20" t="n">
        <v>280</v>
      </c>
      <c r="K24" s="19" t="n">
        <v>600</v>
      </c>
      <c r="L24" s="13" t="n">
        <v>125</v>
      </c>
      <c r="M24" s="13" t="n">
        <v>65</v>
      </c>
      <c r="N24" s="13" t="n">
        <v>16</v>
      </c>
      <c r="O24" s="21" t="n">
        <v>36</v>
      </c>
      <c r="P24" s="22">
        <f>L24+M24+N24</f>
        <v>206</v>
      </c>
      <c r="Q24" s="23">
        <f>L24*M24*N24/1000000</f>
        <v>0.13</v>
      </c>
      <c r="R24" s="22">
        <f>MAX(MATCH(P24,'前提条件'!$C$34:$C$46,1),INDEX('前提条件'!$J$34:$J$41,MATCH(O24,'前提条件'!$H$34:$H$41,1)))</f>
        <v>10</v>
      </c>
      <c r="S24" s="15" t="str">
        <f>INDEX('前提条件'!$B$34:$B$46,R24)</f>
        <v>220サイズ</v>
      </c>
      <c r="T24" s="24">
        <f>INDEX('前提条件'!$E$34:$E$46,R24)*'前提条件'!$B$7</f>
        <v>3300</v>
      </c>
      <c r="U24" s="25" t="n">
        <v>0</v>
      </c>
      <c r="V24" s="24">
        <f>J24*'前提条件'!$B$4*(1+'前提条件'!$B$5)+K24+Q24*'前提条件'!$B$6+(J24*'前提条件'!$B$4*(1+'前提条件'!$B$5)+Q24*'前提条件'!$B$6)*U24</f>
        <v>9417.6</v>
      </c>
      <c r="W24" s="24">
        <f>G24/(1+'前提条件'!$B$13)</f>
        <v>22545.4545454545</v>
      </c>
      <c r="X24" s="24">
        <f>W24*(1-'前提条件'!$B$8-'前提条件'!$B$9)-G24*F24-T24-Q24*'前提条件'!$B$10*'前提条件'!$B$11-'前提条件'!$B$12-V24</f>
        <v>1967.29090909091</v>
      </c>
      <c r="Y24" s="17">
        <f>IF(W24&gt;0,X24/W24,0)</f>
        <v>0.0872588709677419</v>
      </c>
      <c r="Z24" s="17">
        <f>IF(W24&gt;0,(X24+W24*'前提条件'!$B$8)/W24,0)</f>
        <v>0.187258870967742</v>
      </c>
      <c r="AA24" s="13" t="n">
        <v>30</v>
      </c>
      <c r="AB24" s="24">
        <f>X24*AA24</f>
        <v>59018.7272727272</v>
      </c>
      <c r="AC24" s="22">
        <f>IF(X24&gt;0,ROUNDUP('前提条件'!$B$15/X24,0),"赤字")</f>
        <v>509</v>
      </c>
      <c r="AD24" s="24">
        <f>T24+(X24-'前提条件'!$B$14*W24)</f>
        <v>1885.47272727273</v>
      </c>
      <c r="AE24" s="26">
        <f>J24+(X24-'前提条件'!$B$14*W24)/('前提条件'!$B$4*(1+'前提条件'!$B$5)*(1+U24))</f>
        <v>225.427188552188</v>
      </c>
      <c r="AF24" s="15" t="str">
        <f>IF(Y24&gt;='前提条件'!$B$14,"◎ 15%以上",IF(Y24&gt;='前提条件'!$B$16,"△ 条件付き","× 除外"))</f>
        <v>× 除外</v>
      </c>
      <c r="AG24" s="15" t="inlineStr">
        <is>
          <t>220サイズ・36kgで送料が重い。国内B2Bメーカーと価格競争になりやすい</t>
        </is>
      </c>
      <c r="AH24" s="18" t="inlineStr">
        <is>
          <t>https://www.sanwa.co.jp/info/news/202312/rac-wdk10070w/index.html</t>
        </is>
      </c>
      <c r="AI24" s="18" t="inlineStr">
        <is>
          <t>1688で検索</t>
        </is>
      </c>
      <c r="AJ24" s="18" t="inlineStr">
        <is>
          <t>Amazonで検索</t>
        </is>
      </c>
    </row>
    <row r="25" ht="60" customHeight="1">
      <c r="A25" s="28" t="n">
        <v>21</v>
      </c>
      <c r="B25" s="28" t="n">
        <v>33</v>
      </c>
      <c r="C25" s="28" t="inlineStr">
        <is>
          <t>追加30</t>
        </is>
      </c>
      <c r="D25" s="14" t="inlineStr">
        <is>
          <t>屋外ごみ保管ボックス</t>
        </is>
      </c>
      <c r="E25" s="16" t="inlineStr">
        <is>
          <t>DIY・工具・ガーデン</t>
        </is>
      </c>
      <c r="F25" s="17">
        <f>IFERROR(INDEX('前提条件'!$B$20:$B$28,MATCH(E25,'前提条件'!$A$20:$A$28,0)),'前提条件'!$B$20)</f>
        <v>0.154</v>
      </c>
      <c r="G25" s="19" t="n">
        <v>24800</v>
      </c>
      <c r="H25" s="15" t="inlineStr">
        <is>
          <t>ステンレス350L ¥16,800程度、リッチェル220L、足立製作所169L等</t>
        </is>
      </c>
      <c r="I25" s="24" t="n"/>
      <c r="J25" s="20" t="n">
        <v>280</v>
      </c>
      <c r="K25" s="19" t="n">
        <v>500</v>
      </c>
      <c r="L25" s="13" t="n">
        <v>130</v>
      </c>
      <c r="M25" s="13" t="n">
        <v>75</v>
      </c>
      <c r="N25" s="13" t="n">
        <v>14</v>
      </c>
      <c r="O25" s="21" t="n">
        <v>30</v>
      </c>
      <c r="P25" s="22">
        <f>L25+M25+N25</f>
        <v>219</v>
      </c>
      <c r="Q25" s="23">
        <f>L25*M25*N25/1000000</f>
        <v>0.1365</v>
      </c>
      <c r="R25" s="22">
        <f>MAX(MATCH(P25,'前提条件'!$C$34:$C$46,1),INDEX('前提条件'!$J$34:$J$41,MATCH(O25,'前提条件'!$H$34:$H$41,1)))</f>
        <v>10</v>
      </c>
      <c r="S25" s="15" t="str">
        <f>INDEX('前提条件'!$B$34:$B$46,R25)</f>
        <v>220サイズ</v>
      </c>
      <c r="T25" s="24">
        <f>INDEX('前提条件'!$E$34:$E$46,R25)*'前提条件'!$B$7</f>
        <v>3300</v>
      </c>
      <c r="U25" s="25" t="n">
        <v>0</v>
      </c>
      <c r="V25" s="24">
        <f>J25*'前提条件'!$B$4*(1+'前提条件'!$B$5)+K25+Q25*'前提条件'!$B$6+(J25*'前提条件'!$B$4*(1+'前提条件'!$B$5)+Q25*'前提条件'!$B$6)*U25</f>
        <v>9395.6</v>
      </c>
      <c r="W25" s="24">
        <f>G25/(1+'前提条件'!$B$13)</f>
        <v>22545.4545454545</v>
      </c>
      <c r="X25" s="24">
        <f>W25*(1-'前提条件'!$B$8-'前提条件'!$B$9)-G25*F25-T25-Q25*'前提条件'!$B$10*'前提条件'!$B$11-'前提条件'!$B$12-V25</f>
        <v>1960.04090909091</v>
      </c>
      <c r="Y25" s="17">
        <f>IF(W25&gt;0,X25/W25,0)</f>
        <v>0.0869372983870967</v>
      </c>
      <c r="Z25" s="17">
        <f>IF(W25&gt;0,(X25+W25*'前提条件'!$B$8)/W25,0)</f>
        <v>0.186937298387097</v>
      </c>
      <c r="AA25" s="13" t="n">
        <v>120</v>
      </c>
      <c r="AB25" s="24">
        <f>X25*AA25</f>
        <v>235204.909090909</v>
      </c>
      <c r="AC25" s="22">
        <f>IF(X25&gt;0,ROUNDUP('前提条件'!$B$15/X25,0),"赤字")</f>
        <v>511</v>
      </c>
      <c r="AD25" s="24">
        <f>T25+(X25-'前提条件'!$B$14*W25)</f>
        <v>1878.22272727273</v>
      </c>
      <c r="AE25" s="26">
        <f>J25+(X25-'前提条件'!$B$14*W25)/('前提条件'!$B$4*(1+'前提条件'!$B$5)*(1+U25))</f>
        <v>225.147481762065</v>
      </c>
      <c r="AF25" s="15" t="str">
        <f>IF(Y25&gt;='前提条件'!$B$14,"◎ 15%以上",IF(Y25&gt;='前提条件'!$B$16,"△ 条件付き","× 除外"))</f>
        <v>× 除外</v>
      </c>
      <c r="AG25" s="15" t="inlineStr">
        <is>
          <t>需要・単価は高いが220サイズ送料で8%台。天瞳の大型配送単価が約¥1,880以下なら15%到達＝送料表しだいで最有力に化ける</t>
        </is>
      </c>
      <c r="AH25" s="18" t="inlineStr">
        <is>
          <t>https://search.kakaku.com/%E5%B1%8B%E5%A4%96%20%E3%82%B4%E3%83%9F%E3%82%B9%E3%83%88%E3%83%83%E3%82%AB%E3%83%BC/</t>
        </is>
      </c>
      <c r="AI25" s="18" t="inlineStr">
        <is>
          <t>1688で検索</t>
        </is>
      </c>
      <c r="AJ25" s="18" t="inlineStr">
        <is>
          <t>Amazonで検索</t>
        </is>
      </c>
    </row>
    <row r="26" ht="60" customHeight="1">
      <c r="A26" s="28" t="n">
        <v>22</v>
      </c>
      <c r="B26" s="28" t="n">
        <v>30</v>
      </c>
      <c r="C26" s="28" t="inlineStr">
        <is>
          <t>追加30</t>
        </is>
      </c>
      <c r="D26" s="14" t="inlineStr">
        <is>
          <t>工具収納ワゴン</t>
        </is>
      </c>
      <c r="E26" s="16" t="inlineStr">
        <is>
          <t>DIY・工具・ガーデン</t>
        </is>
      </c>
      <c r="F26" s="17">
        <f>IFERROR(INDEX('前提条件'!$B$20:$B$28,MATCH(E26,'前提条件'!$A$20:$A$28,0)),'前提条件'!$B$20)</f>
        <v>0.154</v>
      </c>
      <c r="G26" s="19" t="n">
        <v>12980</v>
      </c>
      <c r="H26" s="15" t="inlineStr">
        <is>
          <t>3段 71×35.5×73・450kg、アストロプロダクツ等。価格未確認</t>
        </is>
      </c>
      <c r="I26" s="24" t="n"/>
      <c r="J26" s="20" t="n">
        <v>150</v>
      </c>
      <c r="K26" s="19" t="n">
        <v>300</v>
      </c>
      <c r="L26" s="13" t="n">
        <v>78</v>
      </c>
      <c r="M26" s="13" t="n">
        <v>42</v>
      </c>
      <c r="N26" s="13" t="n">
        <v>22</v>
      </c>
      <c r="O26" s="21" t="n">
        <v>22</v>
      </c>
      <c r="P26" s="22">
        <f>L26+M26+N26</f>
        <v>142</v>
      </c>
      <c r="Q26" s="23">
        <f>L26*M26*N26/1000000</f>
        <v>0.072072</v>
      </c>
      <c r="R26" s="22">
        <f>MAX(MATCH(P26,'前提条件'!$C$34:$C$46,1),INDEX('前提条件'!$J$34:$J$41,MATCH(O26,'前提条件'!$H$34:$H$41,1)))</f>
        <v>6</v>
      </c>
      <c r="S26" s="15" t="str">
        <f>INDEX('前提条件'!$B$34:$B$46,R26)</f>
        <v>160サイズ</v>
      </c>
      <c r="T26" s="24">
        <f>INDEX('前提条件'!$E$34:$E$46,R26)*'前提条件'!$B$7</f>
        <v>1450</v>
      </c>
      <c r="U26" s="25" t="n">
        <v>0</v>
      </c>
      <c r="V26" s="24">
        <f>J26*'前提条件'!$B$4*(1+'前提条件'!$B$5)+K26+Q26*'前提条件'!$B$6+(J26*'前提条件'!$B$4*(1+'前提条件'!$B$5)+Q26*'前提条件'!$B$6)*U26</f>
        <v>5052.864</v>
      </c>
      <c r="W26" s="24">
        <f>G26/(1+'前提条件'!$B$13)</f>
        <v>11800</v>
      </c>
      <c r="X26" s="24">
        <f>W26*(1-'前提条件'!$B$8-'前提条件'!$B$9)-G26*F26-T26-Q26*'前提条件'!$B$10*'前提条件'!$B$11-'前提条件'!$B$12-V26</f>
        <v>1021.892</v>
      </c>
      <c r="Y26" s="17">
        <f>IF(W26&gt;0,X26/W26,0)</f>
        <v>0.0866010169491525</v>
      </c>
      <c r="Z26" s="17">
        <f>IF(W26&gt;0,(X26+W26*'前提条件'!$B$8)/W26,0)</f>
        <v>0.186601016949153</v>
      </c>
      <c r="AA26" s="13" t="n">
        <v>100</v>
      </c>
      <c r="AB26" s="24">
        <f>X26*AA26</f>
        <v>102189.2</v>
      </c>
      <c r="AC26" s="22">
        <f>IF(X26&gt;0,ROUNDUP('前提条件'!$B$15/X26,0),"赤字")</f>
        <v>979</v>
      </c>
      <c r="AD26" s="24">
        <f>T26+(X26-'前提条件'!$B$14*W26)</f>
        <v>701.891999999999</v>
      </c>
      <c r="AE26" s="26">
        <f>J26+(X26-'前提条件'!$B$14*W26)/('前提条件'!$B$4*(1+'前提条件'!$B$5)*(1+U26))</f>
        <v>121.137808641975</v>
      </c>
      <c r="AF26" s="15" t="str">
        <f>IF(Y26&gt;='前提条件'!$B$14,"◎ 15%以上",IF(Y26&gt;='前提条件'!$B$16,"△ 条件付き","× 除外"))</f>
        <v>× 除外</v>
      </c>
      <c r="AG26" s="15" t="inlineStr">
        <is>
          <t>アストロプロダクツ等の専門店が強い。キャスター破損・塗装剥がれ・組立の歪みが不満点</t>
        </is>
      </c>
      <c r="AH26" s="18" t="inlineStr">
        <is>
          <t>https://www.amazon.co.jp/dp/B0CLNHY88K</t>
        </is>
      </c>
      <c r="AI26" s="18" t="inlineStr">
        <is>
          <t>1688で検索</t>
        </is>
      </c>
      <c r="AJ26" s="18" t="inlineStr">
        <is>
          <t>Amazonで検索</t>
        </is>
      </c>
    </row>
    <row r="27" ht="60" customHeight="1">
      <c r="A27" s="28" t="n">
        <v>23</v>
      </c>
      <c r="B27" s="28" t="n">
        <v>19</v>
      </c>
      <c r="C27" s="28" t="inlineStr">
        <is>
          <t>追加30</t>
        </is>
      </c>
      <c r="D27" s="14" t="inlineStr">
        <is>
          <t>天板付き分別ランドリーワゴン</t>
        </is>
      </c>
      <c r="E27" s="16" t="inlineStr">
        <is>
          <t>ホーム&amp;キッチン</t>
        </is>
      </c>
      <c r="F27" s="17">
        <f>IFERROR(INDEX('前提条件'!$B$20:$B$28,MATCH(E27,'前提条件'!$A$20:$A$28,0)),'前提条件'!$B$20)</f>
        <v>0.154</v>
      </c>
      <c r="G27" s="19" t="n">
        <v>6980</v>
      </c>
      <c r="H27" s="15" t="inlineStr">
        <is>
          <t>幅26cmスリム3段バスケット型等。価格未確認</t>
        </is>
      </c>
      <c r="I27" s="24" t="n"/>
      <c r="J27" s="20" t="n">
        <v>55</v>
      </c>
      <c r="K27" s="19" t="n">
        <v>200</v>
      </c>
      <c r="L27" s="13" t="n">
        <v>75</v>
      </c>
      <c r="M27" s="13" t="n">
        <v>38</v>
      </c>
      <c r="N27" s="13" t="n">
        <v>14</v>
      </c>
      <c r="O27" s="21" t="n">
        <v>7</v>
      </c>
      <c r="P27" s="22">
        <f>L27+M27+N27</f>
        <v>127</v>
      </c>
      <c r="Q27" s="23">
        <f>L27*M27*N27/1000000</f>
        <v>0.0399</v>
      </c>
      <c r="R27" s="22">
        <f>MAX(MATCH(P27,'前提条件'!$C$34:$C$46,1),INDEX('前提条件'!$J$34:$J$41,MATCH(O27,'前提条件'!$H$34:$H$41,1)))</f>
        <v>5</v>
      </c>
      <c r="S27" s="15" t="str">
        <f>INDEX('前提条件'!$B$34:$B$46,R27)</f>
        <v>140サイズ</v>
      </c>
      <c r="T27" s="24">
        <f>INDEX('前提条件'!$E$34:$E$46,R27)*'前提条件'!$B$7</f>
        <v>1250</v>
      </c>
      <c r="U27" s="25" t="n">
        <v>0</v>
      </c>
      <c r="V27" s="24">
        <f>J27*'前提条件'!$B$4*(1+'前提条件'!$B$5)+K27+Q27*'前提条件'!$B$6+(J27*'前提条件'!$B$4*(1+'前提条件'!$B$5)+Q27*'前提条件'!$B$6)*U27</f>
        <v>2104.4</v>
      </c>
      <c r="W27" s="24">
        <f>G27/(1+'前提条件'!$B$13)</f>
        <v>6345.45454545455</v>
      </c>
      <c r="X27" s="24">
        <f>W27*(1-'前提条件'!$B$8-'前提条件'!$B$9)-G27*F27-T27-Q27*'前提条件'!$B$10*'前提条件'!$B$11-'前提条件'!$B$12-V27</f>
        <v>548.220909090909</v>
      </c>
      <c r="Y27" s="17">
        <f>IF(W27&gt;0,X27/W27,0)</f>
        <v>0.0863958452722062</v>
      </c>
      <c r="Z27" s="17">
        <f>IF(W27&gt;0,(X27+W27*'前提条件'!$B$8)/W27,0)</f>
        <v>0.186395845272206</v>
      </c>
      <c r="AA27" s="13" t="n">
        <v>120</v>
      </c>
      <c r="AB27" s="24">
        <f>X27*AA27</f>
        <v>65786.509090909</v>
      </c>
      <c r="AC27" s="22">
        <f>IF(X27&gt;0,ROUNDUP('前提条件'!$B$15/X27,0),"赤字")</f>
        <v>1825</v>
      </c>
      <c r="AD27" s="24">
        <f>T27+(X27-'前提条件'!$B$14*W27)</f>
        <v>846.402727272727</v>
      </c>
      <c r="AE27" s="26">
        <f>J27+(X27-'前提条件'!$B$14*W27)/('前提条件'!$B$4*(1+'前提条件'!$B$5)*(1+U27))</f>
        <v>39.4291175645342</v>
      </c>
      <c r="AF27" s="15" t="str">
        <f>IF(Y27&gt;='前提条件'!$B$14,"◎ 15%以上",IF(Y27&gt;='前提条件'!$B$16,"△ 条件付き","× 除外"))</f>
        <v>× 除外</v>
      </c>
      <c r="AG27" s="15" t="inlineStr">
        <is>
          <t>低単価で送料比率が高い</t>
        </is>
      </c>
      <c r="AH27" s="18" t="inlineStr">
        <is>
          <t>https://search.kakaku.com/%E3%83%A9%E3%83%B3%E3%83%89%E3%83%AA%E3%83%BC%E3%83%AF%E3%82%B4%E3%83%B3/</t>
        </is>
      </c>
      <c r="AI27" s="18" t="inlineStr">
        <is>
          <t>1688で検索</t>
        </is>
      </c>
      <c r="AJ27" s="18" t="inlineStr">
        <is>
          <t>Amazonで検索</t>
        </is>
      </c>
    </row>
    <row r="28" ht="60" customHeight="1">
      <c r="A28" s="28" t="n">
        <v>24</v>
      </c>
      <c r="B28" s="28" t="n">
        <v>8</v>
      </c>
      <c r="C28" s="28" t="inlineStr">
        <is>
          <t>上位10</t>
        </is>
      </c>
      <c r="D28" s="14" t="inlineStr">
        <is>
          <t>45Lごみ箱3台対応ラック</t>
        </is>
      </c>
      <c r="E28" s="16" t="inlineStr">
        <is>
          <t>ホーム&amp;キッチン</t>
        </is>
      </c>
      <c r="F28" s="17">
        <f>IFERROR(INDEX('前提条件'!$B$20:$B$28,MATCH(E28,'前提条件'!$A$20:$A$28,0)),'前提条件'!$B$20)</f>
        <v>0.154</v>
      </c>
      <c r="G28" s="19" t="n">
        <v>10980</v>
      </c>
      <c r="H28" s="15" t="inlineStr">
        <is>
          <t>45L 3分別ゴミ箱は¥6,990・★4.3（90件）・過去1か月300点以上購入の例あり（需要は大）</t>
        </is>
      </c>
      <c r="I28" s="24" t="n">
        <v>16980</v>
      </c>
      <c r="J28" s="20" t="n">
        <v>100</v>
      </c>
      <c r="K28" s="19" t="n">
        <v>300</v>
      </c>
      <c r="L28" s="13" t="n">
        <v>113</v>
      </c>
      <c r="M28" s="13" t="n">
        <v>42</v>
      </c>
      <c r="N28" s="13" t="n">
        <v>12</v>
      </c>
      <c r="O28" s="21" t="n">
        <v>17</v>
      </c>
      <c r="P28" s="22">
        <f>L28+M28+N28</f>
        <v>167</v>
      </c>
      <c r="Q28" s="23">
        <f>L28*M28*N28/1000000</f>
        <v>0.056952</v>
      </c>
      <c r="R28" s="22">
        <f>MAX(MATCH(P28,'前提条件'!$C$34:$C$46,1),INDEX('前提条件'!$J$34:$J$41,MATCH(O28,'前提条件'!$H$34:$H$41,1)))</f>
        <v>7</v>
      </c>
      <c r="S28" s="15" t="str">
        <f>INDEX('前提条件'!$B$34:$B$46,R28)</f>
        <v>170サイズ</v>
      </c>
      <c r="T28" s="24">
        <f>INDEX('前提条件'!$E$34:$E$46,R28)*'前提条件'!$B$7</f>
        <v>1900</v>
      </c>
      <c r="U28" s="25" t="n">
        <v>0</v>
      </c>
      <c r="V28" s="24">
        <f>J28*'前提条件'!$B$4*(1+'前提条件'!$B$5)+K28+Q28*'前提条件'!$B$6+(J28*'前提条件'!$B$4*(1+'前提条件'!$B$5)+Q28*'前提条件'!$B$6)*U28</f>
        <v>3575.424</v>
      </c>
      <c r="W28" s="24">
        <f>G28/(1+'前提条件'!$B$13)</f>
        <v>9981.81818181818</v>
      </c>
      <c r="X28" s="24">
        <f>W28*(1-'前提条件'!$B$8-'前提条件'!$B$9)-G28*F28-T28-Q28*'前提条件'!$B$10*'前提条件'!$B$11-'前提条件'!$B$12-V28</f>
        <v>861.735636363635</v>
      </c>
      <c r="Y28" s="17">
        <f>IF(W28&gt;0,X28/W28,0)</f>
        <v>0.086330528233151</v>
      </c>
      <c r="Z28" s="17">
        <f>IF(W28&gt;0,(X28+W28*'前提条件'!$B$8)/W28,0)</f>
        <v>0.186330528233151</v>
      </c>
      <c r="AA28" s="13" t="n">
        <v>80</v>
      </c>
      <c r="AB28" s="24">
        <f>X28*AA28</f>
        <v>68938.8509090908</v>
      </c>
      <c r="AC28" s="22">
        <f>IF(X28&gt;0,ROUNDUP('前提条件'!$B$15/X28,0),"赤字")</f>
        <v>1161</v>
      </c>
      <c r="AD28" s="24">
        <f>T28+(X28-'前提条件'!$B$14*W28)</f>
        <v>1264.46290909091</v>
      </c>
      <c r="AE28" s="26">
        <f>J28+(X28-'前提条件'!$B$14*W28)/('前提条件'!$B$4*(1+'前提条件'!$B$5)*(1+U28))</f>
        <v>75.4808221099887</v>
      </c>
      <c r="AF28" s="15" t="str">
        <f>IF(Y28&gt;='前提条件'!$B$14,"◎ 15%以上",IF(Y28&gt;='前提条件'!$B$16,"△ 条件付き","× 除外"))</f>
        <v>× 除外</v>
      </c>
      <c r="AG28" s="15" t="inlineStr">
        <is>
          <t>170サイズ送料で利益が薄い。需要は大きいので、ゴミ箱3台とのセット販売（客単価¥20,000超）で再設計すると可能性あり</t>
        </is>
      </c>
      <c r="AH28" s="18" t="inlineStr">
        <is>
          <t>https://www.amazon.co.jp/s?k=%E3%82%B4%E3%83%9F%E7%AE%B1+45l+3%E5%88%86%E5%88%A5</t>
        </is>
      </c>
      <c r="AI28" s="18" t="inlineStr">
        <is>
          <t>1688で検索</t>
        </is>
      </c>
      <c r="AJ28" s="18" t="inlineStr">
        <is>
          <t>Amazonで検索</t>
        </is>
      </c>
    </row>
    <row r="29" ht="60" customHeight="1">
      <c r="A29" s="28" t="n">
        <v>25</v>
      </c>
      <c r="B29" s="28" t="n">
        <v>25</v>
      </c>
      <c r="C29" s="28" t="inlineStr">
        <is>
          <t>追加30</t>
        </is>
      </c>
      <c r="D29" s="14" t="inlineStr">
        <is>
          <t>ペットトリミング台</t>
        </is>
      </c>
      <c r="E29" s="16" t="inlineStr">
        <is>
          <t>ペット用品</t>
        </is>
      </c>
      <c r="F29" s="17">
        <f>IFERROR(INDEX('前提条件'!$B$20:$B$28,MATCH(E29,'前提条件'!$A$20:$A$28,0)),'前提条件'!$B$20)</f>
        <v>0.154</v>
      </c>
      <c r="G29" s="19" t="n">
        <v>11980</v>
      </c>
      <c r="H29" s="15" t="inlineStr">
        <is>
          <t>ShineLuxe、Petit ruban BB75-78等。価格未確認</t>
        </is>
      </c>
      <c r="I29" s="24" t="n"/>
      <c r="J29" s="20" t="n">
        <v>120</v>
      </c>
      <c r="K29" s="19" t="n">
        <v>300</v>
      </c>
      <c r="L29" s="13" t="n">
        <v>95</v>
      </c>
      <c r="M29" s="13" t="n">
        <v>62</v>
      </c>
      <c r="N29" s="13" t="n">
        <v>10</v>
      </c>
      <c r="O29" s="21" t="n">
        <v>13</v>
      </c>
      <c r="P29" s="22">
        <f>L29+M29+N29</f>
        <v>167</v>
      </c>
      <c r="Q29" s="23">
        <f>L29*M29*N29/1000000</f>
        <v>0.0589</v>
      </c>
      <c r="R29" s="22">
        <f>MAX(MATCH(P29,'前提条件'!$C$34:$C$46,1),INDEX('前提条件'!$J$34:$J$41,MATCH(O29,'前提条件'!$H$34:$H$41,1)))</f>
        <v>7</v>
      </c>
      <c r="S29" s="15" t="str">
        <f>INDEX('前提条件'!$B$34:$B$46,R29)</f>
        <v>170サイズ</v>
      </c>
      <c r="T29" s="24">
        <f>INDEX('前提条件'!$E$34:$E$46,R29)*'前提条件'!$B$7</f>
        <v>1900</v>
      </c>
      <c r="U29" s="25" t="n">
        <v>0</v>
      </c>
      <c r="V29" s="24">
        <f>J29*'前提条件'!$B$4*(1+'前提条件'!$B$5)+K29+Q29*'前提条件'!$B$6+(J29*'前提条件'!$B$4*(1+'前提条件'!$B$5)+Q29*'前提条件'!$B$6)*U29</f>
        <v>4117.2</v>
      </c>
      <c r="W29" s="24">
        <f>G29/(1+'前提条件'!$B$13)</f>
        <v>10890.9090909091</v>
      </c>
      <c r="X29" s="24">
        <f>W29*(1-'前提条件'!$B$8-'前提条件'!$B$9)-G29*F29-T29-Q29*'前提条件'!$B$10*'前提条件'!$B$11-'前提条件'!$B$12-V29</f>
        <v>939.011818181818</v>
      </c>
      <c r="Y29" s="17">
        <f>IF(W29&gt;0,X29/W29,0)</f>
        <v>0.0862197829716194</v>
      </c>
      <c r="Z29" s="17">
        <f>IF(W29&gt;0,(X29+W29*'前提条件'!$B$8)/W29,0)</f>
        <v>0.186219782971619</v>
      </c>
      <c r="AA29" s="13" t="n">
        <v>60</v>
      </c>
      <c r="AB29" s="24">
        <f>X29*AA29</f>
        <v>56340.7090909091</v>
      </c>
      <c r="AC29" s="22">
        <f>IF(X29&gt;0,ROUNDUP('前提条件'!$B$15/X29,0),"赤字")</f>
        <v>1065</v>
      </c>
      <c r="AD29" s="24">
        <f>T29+(X29-'前提条件'!$B$14*W29)</f>
        <v>1205.37545454545</v>
      </c>
      <c r="AE29" s="26">
        <f>J29+(X29-'前提条件'!$B$14*W29)/('前提条件'!$B$4*(1+'前提条件'!$B$5)*(1+U29))</f>
        <v>93.2012135241302</v>
      </c>
      <c r="AF29" s="15" t="str">
        <f>IF(Y29&gt;='前提条件'!$B$14,"◎ 15%以上",IF(Y29&gt;='前提条件'!$B$16,"△ 条件付き","× 除外"))</f>
        <v>× 除外</v>
      </c>
      <c r="AG29" s="15" t="inlineStr">
        <is>
          <t>天板が大きく170サイズ。市場も小さい</t>
        </is>
      </c>
      <c r="AH29" s="18" t="inlineStr">
        <is>
          <t>https://search.kakaku.com/%E3%83%88%E3%83%AA%E3%83%9F%E3%83%B3%E3%82%B0%E3%83%86%E3%83%BC%E3%83%96%E3%83%AB%20%E6%8A%98%E3%82%8A%E3%81%9F%E3%81%9F%E3%81%BF%20%E3%82%B3%E3%83%B3%E3%83%91%E3%82%AF%E3%83%88/</t>
        </is>
      </c>
      <c r="AI29" s="18" t="inlineStr">
        <is>
          <t>1688で検索</t>
        </is>
      </c>
      <c r="AJ29" s="18" t="inlineStr">
        <is>
          <t>Amazonで検索</t>
        </is>
      </c>
    </row>
    <row r="30" ht="60" customHeight="1">
      <c r="A30" s="28" t="n">
        <v>26</v>
      </c>
      <c r="B30" s="28" t="n">
        <v>21</v>
      </c>
      <c r="C30" s="28" t="inlineStr">
        <is>
          <t>追加30</t>
        </is>
      </c>
      <c r="D30" s="14" t="inlineStr">
        <is>
          <t>ペット用品収納ステーション</t>
        </is>
      </c>
      <c r="E30" s="16" t="inlineStr">
        <is>
          <t>ペット用品</t>
        </is>
      </c>
      <c r="F30" s="17">
        <f>IFERROR(INDEX('前提条件'!$B$20:$B$28,MATCH(E30,'前提条件'!$A$20:$A$28,0)),'前提条件'!$B$20)</f>
        <v>0.154</v>
      </c>
      <c r="G30" s="19" t="n">
        <v>14980</v>
      </c>
      <c r="H30" s="15" t="inlineStr">
        <is>
          <t>山崎実業 tower フードストッカー等。家具型は価格未確認</t>
        </is>
      </c>
      <c r="I30" s="24" t="n"/>
      <c r="J30" s="20" t="n">
        <v>160</v>
      </c>
      <c r="K30" s="19" t="n">
        <v>400</v>
      </c>
      <c r="L30" s="13" t="n">
        <v>100</v>
      </c>
      <c r="M30" s="13" t="n">
        <v>50</v>
      </c>
      <c r="N30" s="13" t="n">
        <v>18</v>
      </c>
      <c r="O30" s="21" t="n">
        <v>24</v>
      </c>
      <c r="P30" s="22">
        <f>L30+M30+N30</f>
        <v>168</v>
      </c>
      <c r="Q30" s="23">
        <f>L30*M30*N30/1000000</f>
        <v>0.09</v>
      </c>
      <c r="R30" s="22">
        <f>MAX(MATCH(P30,'前提条件'!$C$34:$C$46,1),INDEX('前提条件'!$J$34:$J$41,MATCH(O30,'前提条件'!$H$34:$H$41,1)))</f>
        <v>7</v>
      </c>
      <c r="S30" s="15" t="str">
        <f>INDEX('前提条件'!$B$34:$B$46,R30)</f>
        <v>170サイズ</v>
      </c>
      <c r="T30" s="24">
        <f>INDEX('前提条件'!$E$34:$E$46,R30)*'前提条件'!$B$7</f>
        <v>1900</v>
      </c>
      <c r="U30" s="25" t="n">
        <v>0</v>
      </c>
      <c r="V30" s="24">
        <f>J30*'前提条件'!$B$4*(1+'前提条件'!$B$5)+K30+Q30*'前提条件'!$B$6+(J30*'前提条件'!$B$4*(1+'前提条件'!$B$5)+Q30*'前提条件'!$B$6)*U30</f>
        <v>5627.2</v>
      </c>
      <c r="W30" s="24">
        <f>G30/(1+'前提条件'!$B$13)</f>
        <v>13618.1818181818</v>
      </c>
      <c r="X30" s="24">
        <f>W30*(1-'前提条件'!$B$8-'前提条件'!$B$9)-G30*F30-T30-Q30*'前提条件'!$B$10*'前提条件'!$B$11-'前提条件'!$B$12-V30</f>
        <v>1172.51636363636</v>
      </c>
      <c r="Y30" s="17">
        <f>IF(W30&gt;0,X30/W30,0)</f>
        <v>0.0860993324432575</v>
      </c>
      <c r="Z30" s="17">
        <f>IF(W30&gt;0,(X30+W30*'前提条件'!$B$8)/W30,0)</f>
        <v>0.186099332443258</v>
      </c>
      <c r="AA30" s="13" t="n">
        <v>40</v>
      </c>
      <c r="AB30" s="24">
        <f>X30*AA30</f>
        <v>46900.6545454545</v>
      </c>
      <c r="AC30" s="22">
        <f>IF(X30&gt;0,ROUNDUP('前提条件'!$B$15/X30,0),"赤字")</f>
        <v>853</v>
      </c>
      <c r="AD30" s="24">
        <f>T30+(X30-'前提条件'!$B$14*W30)</f>
        <v>1029.78909090909</v>
      </c>
      <c r="AE30" s="26">
        <f>J30+(X30-'前提条件'!$B$14*W30)/('前提条件'!$B$4*(1+'前提条件'!$B$5)*(1+U30))</f>
        <v>126.427048260382</v>
      </c>
      <c r="AF30" s="15" t="str">
        <f>IF(Y30&gt;='前提条件'!$B$14,"◎ 15%以上",IF(Y30&gt;='前提条件'!$B$16,"△ 条件付き","× 除外"))</f>
        <v>× 除外</v>
      </c>
      <c r="AG30" s="15" t="inlineStr">
        <is>
          <t>需要の裏付けが弱く170サイズ送料</t>
        </is>
      </c>
      <c r="AH30" s="18" t="inlineStr">
        <is>
          <t>https://search.kakaku.com/%E7%8C%AB%20%E5%8F%8E%E7%B4%8D/</t>
        </is>
      </c>
      <c r="AI30" s="18" t="inlineStr">
        <is>
          <t>1688で検索</t>
        </is>
      </c>
      <c r="AJ30" s="18" t="inlineStr">
        <is>
          <t>Amazonで検索</t>
        </is>
      </c>
    </row>
    <row r="31" ht="60" customHeight="1">
      <c r="A31" s="28" t="n">
        <v>27</v>
      </c>
      <c r="B31" s="28" t="n">
        <v>11</v>
      </c>
      <c r="C31" s="28" t="inlineStr">
        <is>
          <t>追加30</t>
        </is>
      </c>
      <c r="D31" s="14" t="inlineStr">
        <is>
          <t>大型デスク上収納ラック</t>
        </is>
      </c>
      <c r="E31" s="16" t="inlineStr">
        <is>
          <t>文房具・オフィス用品</t>
        </is>
      </c>
      <c r="F31" s="17">
        <f>IFERROR(INDEX('前提条件'!$B$20:$B$28,MATCH(E31,'前提条件'!$A$20:$A$28,0)),'前提条件'!$B$20)</f>
        <v>0.154</v>
      </c>
      <c r="G31" s="19" t="n">
        <v>7980</v>
      </c>
      <c r="H31" s="15" t="inlineStr">
        <is>
          <t>KR2-120（2段・幅120）等。価格未確認</t>
        </is>
      </c>
      <c r="I31" s="24" t="n"/>
      <c r="J31" s="20" t="n">
        <v>55</v>
      </c>
      <c r="K31" s="19" t="n">
        <v>200</v>
      </c>
      <c r="L31" s="13" t="n">
        <v>123</v>
      </c>
      <c r="M31" s="13" t="n">
        <v>28</v>
      </c>
      <c r="N31" s="13" t="n">
        <v>10</v>
      </c>
      <c r="O31" s="21" t="n">
        <v>8</v>
      </c>
      <c r="P31" s="22">
        <f>L31+M31+N31</f>
        <v>161</v>
      </c>
      <c r="Q31" s="23">
        <f>L31*M31*N31/1000000</f>
        <v>0.03444</v>
      </c>
      <c r="R31" s="22">
        <f>MAX(MATCH(P31,'前提条件'!$C$34:$C$46,1),INDEX('前提条件'!$J$34:$J$41,MATCH(O31,'前提条件'!$H$34:$H$41,1)))</f>
        <v>7</v>
      </c>
      <c r="S31" s="15" t="str">
        <f>INDEX('前提条件'!$B$34:$B$46,R31)</f>
        <v>170サイズ</v>
      </c>
      <c r="T31" s="24">
        <f>INDEX('前提条件'!$E$34:$E$46,R31)*'前提条件'!$B$7</f>
        <v>1900</v>
      </c>
      <c r="U31" s="25" t="n">
        <v>0</v>
      </c>
      <c r="V31" s="24">
        <f>J31*'前提条件'!$B$4*(1+'前提条件'!$B$5)+K31+Q31*'前提条件'!$B$6+(J31*'前提条件'!$B$4*(1+'前提条件'!$B$5)+Q31*'前提条件'!$B$6)*U31</f>
        <v>2038.88</v>
      </c>
      <c r="W31" s="24">
        <f>G31/(1+'前提条件'!$B$13)</f>
        <v>7254.54545454545</v>
      </c>
      <c r="X31" s="24">
        <f>W31*(1-'前提条件'!$B$8-'前提条件'!$B$9)-G31*F31-T31-Q31*'前提条件'!$B$10*'前提条件'!$B$11-'前提条件'!$B$12-V31</f>
        <v>616.12909090909</v>
      </c>
      <c r="Y31" s="17">
        <f>IF(W31&gt;0,X31/W31,0)</f>
        <v>0.0849300751879698</v>
      </c>
      <c r="Z31" s="17">
        <f>IF(W31&gt;0,(X31+W31*'前提条件'!$B$8)/W31,0)</f>
        <v>0.18493007518797</v>
      </c>
      <c r="AA31" s="13" t="n">
        <v>150</v>
      </c>
      <c r="AB31" s="24">
        <f>X31*AA31</f>
        <v>92419.3636363635</v>
      </c>
      <c r="AC31" s="22">
        <f>IF(X31&gt;0,ROUNDUP('前提条件'!$B$15/X31,0),"赤字")</f>
        <v>1624</v>
      </c>
      <c r="AD31" s="24">
        <f>T31+(X31-'前提条件'!$B$14*W31)</f>
        <v>1427.94727272727</v>
      </c>
      <c r="AE31" s="26">
        <f>J31+(X31-'前提条件'!$B$14*W31)/('前提条件'!$B$4*(1+'前提条件'!$B$5)*(1+U31))</f>
        <v>36.7880892255892</v>
      </c>
      <c r="AF31" s="15" t="str">
        <f>IF(Y31&gt;='前提条件'!$B$14,"◎ 15%以上",IF(Y31&gt;='前提条件'!$B$16,"△ 条件付き","× 除外"))</f>
        <v>× 除外</v>
      </c>
      <c r="AG31" s="15" t="inlineStr">
        <is>
          <t>3辺161cmで170サイズになるのが致命的。天板を2分割して140サイズに収めれば再評価</t>
        </is>
      </c>
      <c r="AH31" s="18" t="inlineStr">
        <is>
          <t>https://search.kakaku.com/%E3%83%A2%E3%83%8B%E3%82%BF%E3%83%BC%E5%8F%B0%20120cm/</t>
        </is>
      </c>
      <c r="AI31" s="18" t="inlineStr">
        <is>
          <t>1688で検索</t>
        </is>
      </c>
      <c r="AJ31" s="18" t="inlineStr">
        <is>
          <t>Amazonで検索</t>
        </is>
      </c>
    </row>
    <row r="32" ht="60" customHeight="1">
      <c r="A32" s="28" t="n">
        <v>28</v>
      </c>
      <c r="B32" s="28" t="n">
        <v>13</v>
      </c>
      <c r="C32" s="28" t="inlineStr">
        <is>
          <t>追加30</t>
        </is>
      </c>
      <c r="D32" s="14" t="inlineStr">
        <is>
          <t>折りたたみミシン台</t>
        </is>
      </c>
      <c r="E32" s="16" t="inlineStr">
        <is>
          <t>ホーム&amp;キッチン</t>
        </is>
      </c>
      <c r="F32" s="17">
        <f>IFERROR(INDEX('前提条件'!$B$20:$B$28,MATCH(E32,'前提条件'!$A$20:$A$28,0)),'前提条件'!$B$20)</f>
        <v>0.154</v>
      </c>
      <c r="G32" s="19" t="n">
        <v>19800</v>
      </c>
      <c r="H32" s="15" t="inlineStr">
        <is>
          <t>価格未確認（アイロン台ポケット・2口コンセント付きが人気）</t>
        </is>
      </c>
      <c r="I32" s="24" t="n"/>
      <c r="J32" s="20" t="n">
        <v>240</v>
      </c>
      <c r="K32" s="19" t="n">
        <v>400</v>
      </c>
      <c r="L32" s="13" t="n">
        <v>100</v>
      </c>
      <c r="M32" s="13" t="n">
        <v>55</v>
      </c>
      <c r="N32" s="13" t="n">
        <v>20</v>
      </c>
      <c r="O32" s="21" t="n">
        <v>30</v>
      </c>
      <c r="P32" s="22">
        <f>L32+M32+N32</f>
        <v>175</v>
      </c>
      <c r="Q32" s="23">
        <f>L32*M32*N32/1000000</f>
        <v>0.11</v>
      </c>
      <c r="R32" s="22">
        <f>MAX(MATCH(P32,'前提条件'!$C$34:$C$46,1),INDEX('前提条件'!$J$34:$J$41,MATCH(O32,'前提条件'!$H$34:$H$41,1)))</f>
        <v>8</v>
      </c>
      <c r="S32" s="15" t="str">
        <f>INDEX('前提条件'!$B$34:$B$46,R32)</f>
        <v>180サイズ</v>
      </c>
      <c r="T32" s="24">
        <f>INDEX('前提条件'!$E$34:$E$46,R32)*'前提条件'!$B$7</f>
        <v>2200</v>
      </c>
      <c r="U32" s="25" t="n">
        <v>0</v>
      </c>
      <c r="V32" s="24">
        <f>J32*'前提条件'!$B$4*(1+'前提条件'!$B$5)+K32+Q32*'前提条件'!$B$6+(J32*'前提条件'!$B$4*(1+'前提条件'!$B$5)+Q32*'前提条件'!$B$6)*U32</f>
        <v>7940.8</v>
      </c>
      <c r="W32" s="24">
        <f>G32/(1+'前提条件'!$B$13)</f>
        <v>18000</v>
      </c>
      <c r="X32" s="24">
        <f>W32*(1-'前提条件'!$B$8-'前提条件'!$B$9)-G32*F32-T32-Q32*'前提条件'!$B$10*'前提条件'!$B$11-'前提条件'!$B$12-V32</f>
        <v>1495</v>
      </c>
      <c r="Y32" s="17">
        <f>IF(W32&gt;0,X32/W32,0)</f>
        <v>0.0830555555555555</v>
      </c>
      <c r="Z32" s="17">
        <f>IF(W32&gt;0,(X32+W32*'前提条件'!$B$8)/W32,0)</f>
        <v>0.183055555555556</v>
      </c>
      <c r="AA32" s="13" t="n">
        <v>30</v>
      </c>
      <c r="AB32" s="24">
        <f>X32*AA32</f>
        <v>44850</v>
      </c>
      <c r="AC32" s="22">
        <f>IF(X32&gt;0,ROUNDUP('前提条件'!$B$15/X32,0),"赤字")</f>
        <v>669</v>
      </c>
      <c r="AD32" s="24">
        <f>T32+(X32-'前提条件'!$B$14*W32)</f>
        <v>994.999999999999</v>
      </c>
      <c r="AE32" s="26">
        <f>J32+(X32-'前提条件'!$B$14*W32)/('前提条件'!$B$4*(1+'前提条件'!$B$5)*(1+U32))</f>
        <v>193.510802469136</v>
      </c>
      <c r="AF32" s="15" t="str">
        <f>IF(Y32&gt;='前提条件'!$B$14,"◎ 15%以上",IF(Y32&gt;='前提条件'!$B$16,"△ 条件付き","× 除外"))</f>
        <v>× 除外</v>
      </c>
      <c r="AG32" s="15" t="inlineStr">
        <is>
          <t>市場が小さく30kgで送料が重い</t>
        </is>
      </c>
      <c r="AH32" s="18" t="inlineStr">
        <is>
          <t>https://search.kakaku.com/%E3%83%9F%E3%82%B7%E3%83%B3%E5%8F%B0%20%E6%8A%98%E3%82%8A%E3%81%9F%E3%81%9F%E3%81%BF/</t>
        </is>
      </c>
      <c r="AI32" s="18" t="inlineStr">
        <is>
          <t>1688で検索</t>
        </is>
      </c>
      <c r="AJ32" s="18" t="inlineStr">
        <is>
          <t>Amazonで検索</t>
        </is>
      </c>
    </row>
    <row r="33" ht="60" customHeight="1">
      <c r="A33" s="28" t="n">
        <v>29</v>
      </c>
      <c r="B33" s="28" t="n">
        <v>22</v>
      </c>
      <c r="C33" s="28" t="inlineStr">
        <is>
          <t>追加30</t>
        </is>
      </c>
      <c r="D33" s="14" t="inlineStr">
        <is>
          <t>家具調犬ケージ</t>
        </is>
      </c>
      <c r="E33" s="16" t="inlineStr">
        <is>
          <t>ペット用品</t>
        </is>
      </c>
      <c r="F33" s="17">
        <f>IFERROR(INDEX('前提条件'!$B$20:$B$28,MATCH(E33,'前提条件'!$A$20:$A$28,0)),'前提条件'!$B$20)</f>
        <v>0.154</v>
      </c>
      <c r="G33" s="19" t="n">
        <v>26800</v>
      </c>
      <c r="H33" s="15" t="inlineStr">
        <is>
          <t>BingoPaw ウッディサークル等。価格未確認（木製はスチールの3〜10倍の価格帯）</t>
        </is>
      </c>
      <c r="I33" s="24" t="n"/>
      <c r="J33" s="20" t="n">
        <v>350</v>
      </c>
      <c r="K33" s="19" t="n">
        <v>600</v>
      </c>
      <c r="L33" s="13" t="n">
        <v>110</v>
      </c>
      <c r="M33" s="13" t="n">
        <v>70</v>
      </c>
      <c r="N33" s="13" t="n">
        <v>18</v>
      </c>
      <c r="O33" s="21" t="n">
        <v>38</v>
      </c>
      <c r="P33" s="22">
        <f>L33+M33+N33</f>
        <v>198</v>
      </c>
      <c r="Q33" s="23">
        <f>L33*M33*N33/1000000</f>
        <v>0.1386</v>
      </c>
      <c r="R33" s="22">
        <f>MAX(MATCH(P33,'前提条件'!$C$34:$C$46,1),INDEX('前提条件'!$J$34:$J$41,MATCH(O33,'前提条件'!$H$34:$H$41,1)))</f>
        <v>9</v>
      </c>
      <c r="S33" s="15" t="str">
        <f>INDEX('前提条件'!$B$34:$B$46,R33)</f>
        <v>200サイズ</v>
      </c>
      <c r="T33" s="24">
        <f>INDEX('前提条件'!$E$34:$E$46,R33)*'前提条件'!$B$7</f>
        <v>2700</v>
      </c>
      <c r="U33" s="25" t="n">
        <v>0</v>
      </c>
      <c r="V33" s="24">
        <f>J33*'前提条件'!$B$4*(1+'前提条件'!$B$5)+K33+Q33*'前提条件'!$B$6+(J33*'前提条件'!$B$4*(1+'前提条件'!$B$5)+Q33*'前提条件'!$B$6)*U33</f>
        <v>11335.2</v>
      </c>
      <c r="W33" s="24">
        <f>G33/(1+'前提条件'!$B$13)</f>
        <v>24363.6363636364</v>
      </c>
      <c r="X33" s="24">
        <f>W33*(1-'前提条件'!$B$8-'前提条件'!$B$9)-G33*F33-T33-Q33*'前提条件'!$B$10*'前提条件'!$B$11-'前提条件'!$B$12-V33</f>
        <v>1866.62727272727</v>
      </c>
      <c r="Y33" s="17">
        <f>IF(W33&gt;0,X33/W33,0)</f>
        <v>0.0766152985074624</v>
      </c>
      <c r="Z33" s="17">
        <f>IF(W33&gt;0,(X33+W33*'前提条件'!$B$8)/W33,0)</f>
        <v>0.176615298507462</v>
      </c>
      <c r="AA33" s="13" t="n">
        <v>60</v>
      </c>
      <c r="AB33" s="24">
        <f>X33*AA33</f>
        <v>111997.636363636</v>
      </c>
      <c r="AC33" s="22">
        <f>IF(X33&gt;0,ROUNDUP('前提条件'!$B$15/X33,0),"赤字")</f>
        <v>536</v>
      </c>
      <c r="AD33" s="24">
        <f>T33+(X33-'前提条件'!$B$14*W33)</f>
        <v>912.081818181812</v>
      </c>
      <c r="AE33" s="26">
        <f>J33+(X33-'前提条件'!$B$14*W33)/('前提条件'!$B$4*(1+'前提条件'!$B$5)*(1+U33))</f>
        <v>281.021675084175</v>
      </c>
      <c r="AF33" s="15" t="str">
        <f>IF(Y33&gt;='前提条件'!$B$14,"◎ 15%以上",IF(Y33&gt;='前提条件'!$B$16,"△ 条件付き","× 除外"))</f>
        <v>× 除外</v>
      </c>
      <c r="AG33" s="15" t="inlineStr">
        <is>
          <t>38kg・200サイズ。木部をかじる不満への対策（金属エッジ）で原価増。¥32,800以上を取れるなら再評価</t>
        </is>
      </c>
      <c r="AH33" s="18" t="inlineStr">
        <is>
          <t>https://kurashi.biglobe.ne.jp/rankings/11841/</t>
        </is>
      </c>
      <c r="AI33" s="18" t="inlineStr">
        <is>
          <t>1688で検索</t>
        </is>
      </c>
      <c r="AJ33" s="18" t="inlineStr">
        <is>
          <t>Amazonで検索</t>
        </is>
      </c>
    </row>
    <row r="34" ht="60" customHeight="1">
      <c r="A34" s="28" t="n">
        <v>30</v>
      </c>
      <c r="B34" s="28" t="n">
        <v>7</v>
      </c>
      <c r="C34" s="28" t="inlineStr">
        <is>
          <t>上位10</t>
        </is>
      </c>
      <c r="D34" s="14" t="inlineStr">
        <is>
          <t>8本収納タイヤラック</t>
        </is>
      </c>
      <c r="E34" s="16" t="inlineStr">
        <is>
          <t>車&amp;バイク</t>
        </is>
      </c>
      <c r="F34" s="17">
        <f>IFERROR(INDEX('前提条件'!$B$20:$B$28,MATCH(E34,'前提条件'!$A$20:$A$28,0)),'前提条件'!$B$20)</f>
        <v>0.104</v>
      </c>
      <c r="G34" s="19" t="n">
        <v>7480</v>
      </c>
      <c r="H34" s="15" t="inlineStr">
        <is>
          <t>アイリスオーヤマ 7045887 ¥6,980（JRE MALL）／楽天1位 SALE¥5,720</t>
        </is>
      </c>
      <c r="I34" s="24" t="n">
        <v>13980</v>
      </c>
      <c r="J34" s="20" t="n">
        <v>70</v>
      </c>
      <c r="K34" s="19" t="n">
        <v>400</v>
      </c>
      <c r="L34" s="13" t="n">
        <v>105</v>
      </c>
      <c r="M34" s="13" t="n">
        <v>45</v>
      </c>
      <c r="N34" s="13" t="n">
        <v>10</v>
      </c>
      <c r="O34" s="21" t="n">
        <v>11</v>
      </c>
      <c r="P34" s="22">
        <f>L34+M34+N34</f>
        <v>160</v>
      </c>
      <c r="Q34" s="23">
        <f>L34*M34*N34/1000000</f>
        <v>0.04725</v>
      </c>
      <c r="R34" s="22">
        <f>MAX(MATCH(P34,'前提条件'!$C$34:$C$46,1),INDEX('前提条件'!$J$34:$J$41,MATCH(O34,'前提条件'!$H$34:$H$41,1)))</f>
        <v>6</v>
      </c>
      <c r="S34" s="15" t="str">
        <f>INDEX('前提条件'!$B$34:$B$46,R34)</f>
        <v>160サイズ</v>
      </c>
      <c r="T34" s="24">
        <f>INDEX('前提条件'!$E$34:$E$46,R34)*'前提条件'!$B$7</f>
        <v>1450</v>
      </c>
      <c r="U34" s="25" t="n">
        <v>0</v>
      </c>
      <c r="V34" s="24">
        <f>J34*'前提条件'!$B$4*(1+'前提条件'!$B$5)+K34+Q34*'前提条件'!$B$6+(J34*'前提条件'!$B$4*(1+'前提条件'!$B$5)+Q34*'前提条件'!$B$6)*U34</f>
        <v>2781.4</v>
      </c>
      <c r="W34" s="24">
        <f>G34/(1+'前提条件'!$B$13)</f>
        <v>6800</v>
      </c>
      <c r="X34" s="24">
        <f>W34*(1-'前提条件'!$B$8-'前提条件'!$B$9)-G34*F34-T34-Q34*'前提条件'!$B$10*'前提条件'!$B$11-'前提条件'!$B$12-V34</f>
        <v>326.054999999999</v>
      </c>
      <c r="Y34" s="17">
        <f>IF(W34&gt;0,X34/W34,0)</f>
        <v>0.0479492647058822</v>
      </c>
      <c r="Z34" s="17">
        <f>IF(W34&gt;0,(X34+W34*'前提条件'!$B$8)/W34,0)</f>
        <v>0.147949264705882</v>
      </c>
      <c r="AA34" s="13" t="n">
        <v>150</v>
      </c>
      <c r="AB34" s="24">
        <f>X34*AA34</f>
        <v>48908.2499999998</v>
      </c>
      <c r="AC34" s="22">
        <f>IF(X34&gt;0,ROUNDUP('前提条件'!$B$15/X34,0),"赤字")</f>
        <v>3067</v>
      </c>
      <c r="AD34" s="24">
        <f>T34+(X34-'前提条件'!$B$14*W34)</f>
        <v>756.054999999999</v>
      </c>
      <c r="AE34" s="26">
        <f>J34+(X34-'前提条件'!$B$14*W34)/('前提条件'!$B$4*(1+'前提条件'!$B$5)*(1+U34))</f>
        <v>43.2274305555555</v>
      </c>
      <c r="AF34" s="15" t="str">
        <f>IF(Y34&gt;='前提条件'!$B$14,"◎ 15%以上",IF(Y34&gt;='前提条件'!$B$16,"△ 条件付き","× 除外"))</f>
        <v>× 除外</v>
      </c>
      <c r="AG34" s="15" t="inlineStr">
        <is>
          <t>実勢価格が¥5,700〜7,000と低く、前回案の¥13,980は非現実的。カバーの劣化・交換品がない点は差別化余地（交換カバー単品販売）だが本体では利益が出ない</t>
        </is>
      </c>
      <c r="AH34" s="18" t="inlineStr">
        <is>
          <t>https://www.irisplaza.co.jp/index.php?KB=SHOSAI&amp;SID=7045887</t>
        </is>
      </c>
      <c r="AI34" s="18" t="inlineStr">
        <is>
          <t>1688で検索</t>
        </is>
      </c>
      <c r="AJ34" s="18" t="inlineStr">
        <is>
          <t>Amazonで検索</t>
        </is>
      </c>
    </row>
    <row r="35" ht="60" customHeight="1">
      <c r="A35" s="28" t="n">
        <v>31</v>
      </c>
      <c r="B35" s="28" t="n">
        <v>12</v>
      </c>
      <c r="C35" s="28" t="inlineStr">
        <is>
          <t>追加30</t>
        </is>
      </c>
      <c r="D35" s="14" t="inlineStr">
        <is>
          <t>手動昇降ベッドテーブル</t>
        </is>
      </c>
      <c r="E35" s="16" t="inlineStr">
        <is>
          <t>ホーム&amp;キッチン</t>
        </is>
      </c>
      <c r="F35" s="17">
        <f>IFERROR(INDEX('前提条件'!$B$20:$B$28,MATCH(E35,'前提条件'!$A$20:$A$28,0)),'前提条件'!$B$20)</f>
        <v>0.154</v>
      </c>
      <c r="G35" s="19" t="n">
        <v>16800</v>
      </c>
      <c r="H35" s="15" t="inlineStr">
        <is>
          <t>介護用 ¥20,500〜33,220／ガス圧小型 ¥4,480〜9,480（検索結果）</t>
        </is>
      </c>
      <c r="I35" s="24" t="n"/>
      <c r="J35" s="20" t="n">
        <v>160</v>
      </c>
      <c r="K35" s="19" t="n">
        <v>300</v>
      </c>
      <c r="L35" s="13" t="n">
        <v>125</v>
      </c>
      <c r="M35" s="13" t="n">
        <v>65</v>
      </c>
      <c r="N35" s="13" t="n">
        <v>15</v>
      </c>
      <c r="O35" s="21" t="n">
        <v>20</v>
      </c>
      <c r="P35" s="22">
        <f>L35+M35+N35</f>
        <v>205</v>
      </c>
      <c r="Q35" s="23">
        <f>L35*M35*N35/1000000</f>
        <v>0.121875</v>
      </c>
      <c r="R35" s="22">
        <f>MAX(MATCH(P35,'前提条件'!$C$34:$C$46,1),INDEX('前提条件'!$J$34:$J$41,MATCH(O35,'前提条件'!$H$34:$H$41,1)))</f>
        <v>10</v>
      </c>
      <c r="S35" s="15" t="str">
        <f>INDEX('前提条件'!$B$34:$B$46,R35)</f>
        <v>220サイズ</v>
      </c>
      <c r="T35" s="24">
        <f>INDEX('前提条件'!$E$34:$E$46,R35)*'前提条件'!$B$7</f>
        <v>3300</v>
      </c>
      <c r="U35" s="25" t="n">
        <v>0</v>
      </c>
      <c r="V35" s="24">
        <f>J35*'前提条件'!$B$4*(1+'前提条件'!$B$5)+K35+Q35*'前提条件'!$B$6+(J35*'前提条件'!$B$4*(1+'前提条件'!$B$5)+Q35*'前提条件'!$B$6)*U35</f>
        <v>5909.7</v>
      </c>
      <c r="W35" s="24">
        <f>G35/(1+'前提条件'!$B$13)</f>
        <v>15272.7272727273</v>
      </c>
      <c r="X35" s="24">
        <f>W35*(1-'前提条件'!$B$8-'前提条件'!$B$9)-G35*F35-T35-Q35*'前提条件'!$B$10*'前提条件'!$B$11-'前提条件'!$B$12-V35</f>
        <v>489.207954545454</v>
      </c>
      <c r="Y35" s="17">
        <f>IF(W35&gt;0,X35/W35,0)</f>
        <v>0.0320314732142857</v>
      </c>
      <c r="Z35" s="17">
        <f>IF(W35&gt;0,(X35+W35*'前提条件'!$B$8)/W35,0)</f>
        <v>0.132031473214286</v>
      </c>
      <c r="AA35" s="13" t="n">
        <v>80</v>
      </c>
      <c r="AB35" s="24">
        <f>X35*AA35</f>
        <v>39136.6363636364</v>
      </c>
      <c r="AC35" s="22">
        <f>IF(X35&gt;0,ROUNDUP('前提条件'!$B$15/X35,0),"赤字")</f>
        <v>2045</v>
      </c>
      <c r="AD35" s="24">
        <f>T35+(X35-'前提条件'!$B$14*W35)</f>
        <v>1498.29886363636</v>
      </c>
      <c r="AE35" s="26">
        <f>J35+(X35-'前提条件'!$B$14*W35)/('前提条件'!$B$4*(1+'前提条件'!$B$5)*(1+U35))</f>
        <v>90.4899252946128</v>
      </c>
      <c r="AF35" s="15" t="str">
        <f>IF(Y35&gt;='前提条件'!$B$14,"◎ 15%以上",IF(Y35&gt;='前提条件'!$B$16,"△ 条件付き","× 除外"))</f>
        <v>× 除外</v>
      </c>
      <c r="AG35" s="15" t="inlineStr">
        <is>
          <t>220サイズ送料。介護用上位品（¥20,000超）と同等仕様（脚幅調整・天板角度8段階）を作れれば再評価</t>
        </is>
      </c>
      <c r="AH35" s="18" t="inlineStr">
        <is>
          <t>https://search.kakaku.com/%E3%83%99%E3%83%83%E3%83%89%E3%83%86%E3%83%BC%E3%83%96%E3%83%AB%20%E4%BB%8B%E8%AD%B7/</t>
        </is>
      </c>
      <c r="AI35" s="18" t="inlineStr">
        <is>
          <t>1688で検索</t>
        </is>
      </c>
      <c r="AJ35" s="18" t="inlineStr">
        <is>
          <t>Amazonで検索</t>
        </is>
      </c>
    </row>
    <row r="36" ht="60" customHeight="1">
      <c r="A36" s="28" t="n">
        <v>32</v>
      </c>
      <c r="B36" s="28" t="n">
        <v>35</v>
      </c>
      <c r="C36" s="28" t="inlineStr">
        <is>
          <t>追加30</t>
        </is>
      </c>
      <c r="D36" s="14" t="inlineStr">
        <is>
          <t>室外機カバー付き収納</t>
        </is>
      </c>
      <c r="E36" s="16" t="inlineStr">
        <is>
          <t>DIY・工具・ガーデン</t>
        </is>
      </c>
      <c r="F36" s="17">
        <f>IFERROR(INDEX('前提条件'!$B$20:$B$28,MATCH(E36,'前提条件'!$A$20:$A$28,0)),'前提条件'!$B$20)</f>
        <v>0.154</v>
      </c>
      <c r="G36" s="19" t="n">
        <v>14980</v>
      </c>
      <c r="H36" s="15" t="inlineStr">
        <is>
          <t>山善、90×38×131cm 2段棚付き等。価格未確認</t>
        </is>
      </c>
      <c r="I36" s="24" t="n"/>
      <c r="J36" s="20" t="n">
        <v>170</v>
      </c>
      <c r="K36" s="19" t="n">
        <v>300</v>
      </c>
      <c r="L36" s="13" t="n">
        <v>135</v>
      </c>
      <c r="M36" s="13" t="n">
        <v>45</v>
      </c>
      <c r="N36" s="13" t="n">
        <v>15</v>
      </c>
      <c r="O36" s="21" t="n">
        <v>20</v>
      </c>
      <c r="P36" s="22">
        <f>L36+M36+N36</f>
        <v>195</v>
      </c>
      <c r="Q36" s="23">
        <f>L36*M36*N36/1000000</f>
        <v>0.091125</v>
      </c>
      <c r="R36" s="22">
        <f>MAX(MATCH(P36,'前提条件'!$C$34:$C$46,1),INDEX('前提条件'!$J$34:$J$41,MATCH(O36,'前提条件'!$H$34:$H$41,1)))</f>
        <v>9</v>
      </c>
      <c r="S36" s="15" t="str">
        <f>INDEX('前提条件'!$B$34:$B$46,R36)</f>
        <v>200サイズ</v>
      </c>
      <c r="T36" s="24">
        <f>INDEX('前提条件'!$E$34:$E$46,R36)*'前提条件'!$B$7</f>
        <v>2700</v>
      </c>
      <c r="U36" s="25" t="n">
        <v>0</v>
      </c>
      <c r="V36" s="24">
        <f>J36*'前提条件'!$B$4*(1+'前提条件'!$B$5)+K36+Q36*'前提条件'!$B$6+(J36*'前提条件'!$B$4*(1+'前提条件'!$B$5)+Q36*'前提条件'!$B$6)*U36</f>
        <v>5799.9</v>
      </c>
      <c r="W36" s="24">
        <f>G36/(1+'前提条件'!$B$13)</f>
        <v>13618.1818181818</v>
      </c>
      <c r="X36" s="24">
        <f>W36*(1-'前提条件'!$B$8-'前提条件'!$B$9)-G36*F36-T36-Q36*'前提条件'!$B$10*'前提条件'!$B$11-'前提条件'!$B$12-V36</f>
        <v>194.753863636362</v>
      </c>
      <c r="Y36" s="17">
        <f>IF(W36&gt;0,X36/W36,0)</f>
        <v>0.0143010180240319</v>
      </c>
      <c r="Z36" s="17">
        <f>IF(W36&gt;0,(X36+W36*'前提条件'!$B$8)/W36,0)</f>
        <v>0.114301018024032</v>
      </c>
      <c r="AA36" s="13" t="n">
        <v>100</v>
      </c>
      <c r="AB36" s="24">
        <f>X36*AA36</f>
        <v>19475.3863636362</v>
      </c>
      <c r="AC36" s="22">
        <f>IF(X36&gt;0,ROUNDUP('前提条件'!$B$15/X36,0),"赤字")</f>
        <v>5135</v>
      </c>
      <c r="AD36" s="24">
        <f>T36+(X36-'前提条件'!$B$14*W36)</f>
        <v>852.026590909089</v>
      </c>
      <c r="AE36" s="26">
        <f>J36+(X36-'前提条件'!$B$14*W36)/('前提条件'!$B$4*(1+'前提条件'!$B$5)*(1+U36))</f>
        <v>98.704729587542</v>
      </c>
      <c r="AF36" s="15" t="str">
        <f>IF(Y36&gt;='前提条件'!$B$14,"◎ 15%以上",IF(Y36&gt;='前提条件'!$B$16,"△ 条件付き","× 除外"))</f>
        <v>× 除外</v>
      </c>
      <c r="AG36" s="15" t="inlineStr">
        <is>
          <t>200サイズ送料で利益が残らない</t>
        </is>
      </c>
      <c r="AH36" s="18" t="inlineStr">
        <is>
          <t>https://search.kakaku.com/%E5%AE%A4%E5%A4%96%E6%A9%9F%E3%83%A9%E3%83%83%E3%82%AF/</t>
        </is>
      </c>
      <c r="AI36" s="18" t="inlineStr">
        <is>
          <t>1688で検索</t>
        </is>
      </c>
      <c r="AJ36" s="18" t="inlineStr">
        <is>
          <t>Amazonで検索</t>
        </is>
      </c>
    </row>
    <row r="37" ht="60" customHeight="1">
      <c r="A37" s="28" t="n">
        <v>33</v>
      </c>
      <c r="B37" s="28" t="n">
        <v>16</v>
      </c>
      <c r="C37" s="28" t="inlineStr">
        <is>
          <t>追加30</t>
        </is>
      </c>
      <c r="D37" s="14" t="inlineStr">
        <is>
          <t>玄関収納ベンチ</t>
        </is>
      </c>
      <c r="E37" s="16" t="inlineStr">
        <is>
          <t>ホーム&amp;キッチン</t>
        </is>
      </c>
      <c r="F37" s="17">
        <f>IFERROR(INDEX('前提条件'!$B$20:$B$28,MATCH(E37,'前提条件'!$A$20:$A$28,0)),'前提条件'!$B$20)</f>
        <v>0.154</v>
      </c>
      <c r="G37" s="19" t="n">
        <v>9980</v>
      </c>
      <c r="H37" s="15" t="inlineStr">
        <is>
          <t>HOLTICO（幅100・200kg）等。価格未確認</t>
        </is>
      </c>
      <c r="I37" s="24" t="n"/>
      <c r="J37" s="20" t="n">
        <v>100</v>
      </c>
      <c r="K37" s="19" t="n">
        <v>300</v>
      </c>
      <c r="L37" s="13" t="n">
        <v>105</v>
      </c>
      <c r="M37" s="13" t="n">
        <v>40</v>
      </c>
      <c r="N37" s="13" t="n">
        <v>18</v>
      </c>
      <c r="O37" s="21" t="n">
        <v>15</v>
      </c>
      <c r="P37" s="22">
        <f>L37+M37+N37</f>
        <v>163</v>
      </c>
      <c r="Q37" s="23">
        <f>L37*M37*N37/1000000</f>
        <v>0.0756</v>
      </c>
      <c r="R37" s="22">
        <f>MAX(MATCH(P37,'前提条件'!$C$34:$C$46,1),INDEX('前提条件'!$J$34:$J$41,MATCH(O37,'前提条件'!$H$34:$H$41,1)))</f>
        <v>7</v>
      </c>
      <c r="S37" s="15" t="str">
        <f>INDEX('前提条件'!$B$34:$B$46,R37)</f>
        <v>170サイズ</v>
      </c>
      <c r="T37" s="24">
        <f>INDEX('前提条件'!$E$34:$E$46,R37)*'前提条件'!$B$7</f>
        <v>1900</v>
      </c>
      <c r="U37" s="25" t="n">
        <v>0</v>
      </c>
      <c r="V37" s="24">
        <f>J37*'前提条件'!$B$4*(1+'前提条件'!$B$5)+K37+Q37*'前提条件'!$B$6+(J37*'前提条件'!$B$4*(1+'前提条件'!$B$5)+Q37*'前提条件'!$B$6)*U37</f>
        <v>3799.2</v>
      </c>
      <c r="W37" s="24">
        <f>G37/(1+'前提条件'!$B$13)</f>
        <v>9072.72727272727</v>
      </c>
      <c r="X37" s="24">
        <f>W37*(1-'前提条件'!$B$8-'前提条件'!$B$9)-G37*F37-T37-Q37*'前提条件'!$B$10*'前提条件'!$B$11-'前提条件'!$B$12-V37</f>
        <v>-73.7745454545457</v>
      </c>
      <c r="Y37" s="17">
        <f>IF(W37&gt;0,X37/W37,0)</f>
        <v>-0.00813146292585173</v>
      </c>
      <c r="Z37" s="17">
        <f>IF(W37&gt;0,(X37+W37*'前提条件'!$B$8)/W37,0)</f>
        <v>0.0918685370741483</v>
      </c>
      <c r="AA37" s="13" t="n">
        <v>100</v>
      </c>
      <c r="AB37" s="24">
        <f>X37*AA37</f>
        <v>-7377.45454545457</v>
      </c>
      <c r="AC37" s="22" t="str">
        <f>IF(X37&gt;0,ROUNDUP('前提条件'!$B$15/X37,0),"赤字")</f>
        <v>赤字</v>
      </c>
      <c r="AD37" s="24">
        <f>T37+(X37-'前提条件'!$B$14*W37)</f>
        <v>465.316363636364</v>
      </c>
      <c r="AE37" s="26">
        <f>J37+(X37-'前提条件'!$B$14*W37)/('前提条件'!$B$4*(1+'前提条件'!$B$5)*(1+U37))</f>
        <v>44.6495510662177</v>
      </c>
      <c r="AF37" s="15" t="str">
        <f>IF(Y37&gt;='前提条件'!$B$14,"◎ 15%以上",IF(Y37&gt;='前提条件'!$B$16,"△ 条件付き","× 除外"))</f>
        <v>× 除外</v>
      </c>
      <c r="AG37" s="15" t="inlineStr">
        <is>
          <t>170サイズ・かさばる割に単価が低い</t>
        </is>
      </c>
      <c r="AH37" s="18" t="inlineStr">
        <is>
          <t>https://search.kakaku.com/%E7%8E%84%E9%96%A2%E3%83%99%E3%83%B3%E3%83%81%20%E5%8F%8E%E7%B4%8D/</t>
        </is>
      </c>
      <c r="AI37" s="18" t="inlineStr">
        <is>
          <t>1688で検索</t>
        </is>
      </c>
      <c r="AJ37" s="18" t="inlineStr">
        <is>
          <t>Amazonで検索</t>
        </is>
      </c>
    </row>
    <row r="38" ht="60" customHeight="1">
      <c r="A38" s="28" t="n">
        <v>34</v>
      </c>
      <c r="B38" s="28" t="n">
        <v>37</v>
      </c>
      <c r="C38" s="28" t="inlineStr">
        <is>
          <t>追加30</t>
        </is>
      </c>
      <c r="D38" s="14" t="inlineStr">
        <is>
          <t>静音折りたたみ平台車</t>
        </is>
      </c>
      <c r="E38" s="16" t="inlineStr">
        <is>
          <t>産業・研究開発用品</t>
        </is>
      </c>
      <c r="F38" s="17">
        <f>IFERROR(INDEX('前提条件'!$B$20:$B$28,MATCH(E38,'前提条件'!$A$20:$A$28,0)),'前提条件'!$B$20)</f>
        <v>0.154</v>
      </c>
      <c r="G38" s="19" t="n">
        <v>9980</v>
      </c>
      <c r="H38" s="15" t="inlineStr">
        <is>
          <t>アイリスプラザ 150kg ¥4,980〜5,230（JRE・Yahoo!）</t>
        </is>
      </c>
      <c r="I38" s="24" t="n"/>
      <c r="J38" s="20" t="n">
        <v>100</v>
      </c>
      <c r="K38" s="19" t="n">
        <v>200</v>
      </c>
      <c r="L38" s="13" t="n">
        <v>92</v>
      </c>
      <c r="M38" s="13" t="n">
        <v>62</v>
      </c>
      <c r="N38" s="13" t="n">
        <v>15</v>
      </c>
      <c r="O38" s="21" t="n">
        <v>16</v>
      </c>
      <c r="P38" s="22">
        <f>L38+M38+N38</f>
        <v>169</v>
      </c>
      <c r="Q38" s="23">
        <f>L38*M38*N38/1000000</f>
        <v>0.08556</v>
      </c>
      <c r="R38" s="22">
        <f>MAX(MATCH(P38,'前提条件'!$C$34:$C$46,1),INDEX('前提条件'!$J$34:$J$41,MATCH(O38,'前提条件'!$H$34:$H$41,1)))</f>
        <v>7</v>
      </c>
      <c r="S38" s="15" t="str">
        <f>INDEX('前提条件'!$B$34:$B$46,R38)</f>
        <v>170サイズ</v>
      </c>
      <c r="T38" s="24">
        <f>INDEX('前提条件'!$E$34:$E$46,R38)*'前提条件'!$B$7</f>
        <v>1900</v>
      </c>
      <c r="U38" s="25" t="n">
        <v>0</v>
      </c>
      <c r="V38" s="24">
        <f>J38*'前提条件'!$B$4*(1+'前提条件'!$B$5)+K38+Q38*'前提条件'!$B$6+(J38*'前提条件'!$B$4*(1+'前提条件'!$B$5)+Q38*'前提条件'!$B$6)*U38</f>
        <v>3818.72</v>
      </c>
      <c r="W38" s="24">
        <f>G38/(1+'前提条件'!$B$13)</f>
        <v>9072.72727272727</v>
      </c>
      <c r="X38" s="24">
        <f>W38*(1-'前提条件'!$B$8-'前提条件'!$B$9)-G38*F38-T38-Q38*'前提条件'!$B$10*'前提条件'!$B$11-'前提条件'!$B$12-V38</f>
        <v>-138.114545454546</v>
      </c>
      <c r="Y38" s="17">
        <f>IF(W38&gt;0,X38/W38,0)</f>
        <v>-0.0152230460921845</v>
      </c>
      <c r="Z38" s="17">
        <f>IF(W38&gt;0,(X38+W38*'前提条件'!$B$8)/W38,0)</f>
        <v>0.0847769539078156</v>
      </c>
      <c r="AA38" s="13" t="n">
        <v>200</v>
      </c>
      <c r="AB38" s="24">
        <f>X38*AA38</f>
        <v>-27622.9090909093</v>
      </c>
      <c r="AC38" s="22" t="str">
        <f>IF(X38&gt;0,ROUNDUP('前提条件'!$B$15/X38,0),"赤字")</f>
        <v>赤字</v>
      </c>
      <c r="AD38" s="24">
        <f>T38+(X38-'前提条件'!$B$14*W38)</f>
        <v>400.976363636363</v>
      </c>
      <c r="AE38" s="26">
        <f>J38+(X38-'前提条件'!$B$14*W38)/('前提条件'!$B$4*(1+'前提条件'!$B$5)*(1+U38))</f>
        <v>42.167297979798</v>
      </c>
      <c r="AF38" s="15" t="str">
        <f>IF(Y38&gt;='前提条件'!$B$14,"◎ 15%以上",IF(Y38&gt;='前提条件'!$B$16,"△ 条件付き","× 除外"))</f>
        <v>× 除外</v>
      </c>
      <c r="AG38" s="15" t="inlineStr">
        <is>
          <t>アイリス等が¥5,000前後で強く、大型300kgでも¥9,980では利益が出ない</t>
        </is>
      </c>
      <c r="AH38" s="18" t="inlineStr">
        <is>
          <t>https://www.amazon.co.jp/dp/B07TVCLGFM</t>
        </is>
      </c>
      <c r="AI38" s="18" t="inlineStr">
        <is>
          <t>1688で検索</t>
        </is>
      </c>
      <c r="AJ38" s="18" t="inlineStr">
        <is>
          <t>Amazonで検索</t>
        </is>
      </c>
    </row>
    <row r="39" ht="60" customHeight="1">
      <c r="A39" s="28" t="n">
        <v>35</v>
      </c>
      <c r="B39" s="28" t="n">
        <v>31</v>
      </c>
      <c r="C39" s="28" t="inlineStr">
        <is>
          <t>追加30</t>
        </is>
      </c>
      <c r="D39" s="14" t="inlineStr">
        <is>
          <t>ガレージスチールラック</t>
        </is>
      </c>
      <c r="E39" s="16" t="inlineStr">
        <is>
          <t>ホーム&amp;キッチン</t>
        </is>
      </c>
      <c r="F39" s="17">
        <f>IFERROR(INDEX('前提条件'!$B$20:$B$28,MATCH(E39,'前提条件'!$A$20:$A$28,0)),'前提条件'!$B$20)</f>
        <v>0.154</v>
      </c>
      <c r="G39" s="19" t="n">
        <v>19800</v>
      </c>
      <c r="H39" s="15" t="inlineStr">
        <is>
          <t>Alebert 90×40×180・750kg、Lhysn 150×50×200・900kg等。楽天5段 92,024件</t>
        </is>
      </c>
      <c r="I39" s="24" t="n"/>
      <c r="J39" s="20" t="n">
        <v>200</v>
      </c>
      <c r="K39" s="19" t="n">
        <v>300</v>
      </c>
      <c r="L39" s="13" t="n">
        <v>183</v>
      </c>
      <c r="M39" s="13" t="n">
        <v>47</v>
      </c>
      <c r="N39" s="13" t="n">
        <v>18</v>
      </c>
      <c r="O39" s="21" t="n">
        <v>38</v>
      </c>
      <c r="P39" s="22">
        <f>L39+M39+N39</f>
        <v>248</v>
      </c>
      <c r="Q39" s="23">
        <f>L39*M39*N39/1000000</f>
        <v>0.154818</v>
      </c>
      <c r="R39" s="22">
        <f>MAX(MATCH(P39,'前提条件'!$C$34:$C$46,1),INDEX('前提条件'!$J$34:$J$41,MATCH(O39,'前提条件'!$H$34:$H$41,1)))</f>
        <v>12</v>
      </c>
      <c r="S39" s="15" t="str">
        <f>INDEX('前提条件'!$B$34:$B$46,R39)</f>
        <v>260サイズ</v>
      </c>
      <c r="T39" s="24">
        <f>INDEX('前提条件'!$E$34:$E$46,R39)*'前提条件'!$B$7</f>
        <v>4600</v>
      </c>
      <c r="U39" s="25" t="n">
        <v>0</v>
      </c>
      <c r="V39" s="24">
        <f>J39*'前提条件'!$B$4*(1+'前提条件'!$B$5)+K39+Q39*'前提条件'!$B$6+(J39*'前提条件'!$B$4*(1+'前提条件'!$B$5)+Q39*'前提条件'!$B$6)*U39</f>
        <v>7341.816</v>
      </c>
      <c r="W39" s="24">
        <f>G39/(1+'前提条件'!$B$13)</f>
        <v>18000</v>
      </c>
      <c r="X39" s="24">
        <f>W39*(1-'前提条件'!$B$8-'前提条件'!$B$9)-G39*F39-T39-Q39*'前提条件'!$B$10*'前提条件'!$B$11-'前提条件'!$B$12-V39</f>
        <v>-507.697000000001</v>
      </c>
      <c r="Y39" s="17">
        <f>IF(W39&gt;0,X39/W39,0)</f>
        <v>-0.0282053888888889</v>
      </c>
      <c r="Z39" s="17">
        <f>IF(W39&gt;0,(X39+W39*'前提条件'!$B$8)/W39,0)</f>
        <v>0.0717946111111111</v>
      </c>
      <c r="AA39" s="13" t="n">
        <v>100</v>
      </c>
      <c r="AB39" s="24">
        <f>X39*AA39</f>
        <v>-50769.7000000001</v>
      </c>
      <c r="AC39" s="22" t="str">
        <f>IF(X39&gt;0,ROUNDUP('前提条件'!$B$15/X39,0),"赤字")</f>
        <v>赤字</v>
      </c>
      <c r="AD39" s="24">
        <f>T39+(X39-'前提条件'!$B$14*W39)</f>
        <v>1392.303</v>
      </c>
      <c r="AE39" s="26">
        <f>J39+(X39-'前提条件'!$B$14*W39)/('前提条件'!$B$4*(1+'前提条件'!$B$5)*(1+U39))</f>
        <v>76.2462577160494</v>
      </c>
      <c r="AF39" s="15" t="str">
        <f>IF(Y39&gt;='前提条件'!$B$14,"◎ 15%以上",IF(Y39&gt;='前提条件'!$B$16,"△ 条件付き","× 除外"))</f>
        <v>× 除外</v>
      </c>
      <c r="AG39" s="15" t="inlineStr">
        <is>
          <t>重量・長尺で送料過大。国内大手（ルミナス・アイリス）と正面競合</t>
        </is>
      </c>
      <c r="AH39" s="18" t="inlineStr">
        <is>
          <t>https://search.kakaku.com/%E3%82%B9%E3%83%81%E3%83%BC%E3%83%AB%20%E3%83%A9%E3%83%83%E3%82%AF%20%E3%82%AC%E3%83%AC%E3%83%BC%E3%82%B8/</t>
        </is>
      </c>
      <c r="AI39" s="18" t="inlineStr">
        <is>
          <t>1688で検索</t>
        </is>
      </c>
      <c r="AJ39" s="18" t="inlineStr">
        <is>
          <t>Amazonで検索</t>
        </is>
      </c>
    </row>
    <row r="40" ht="60" customHeight="1">
      <c r="A40" s="28" t="n">
        <v>36</v>
      </c>
      <c r="B40" s="28" t="n">
        <v>17</v>
      </c>
      <c r="C40" s="28" t="inlineStr">
        <is>
          <t>追加30</t>
        </is>
      </c>
      <c r="D40" s="14" t="inlineStr">
        <is>
          <t>大型コレクションケース</t>
        </is>
      </c>
      <c r="E40" s="16" t="inlineStr">
        <is>
          <t>ホーム&amp;キッチン</t>
        </is>
      </c>
      <c r="F40" s="17">
        <f>IFERROR(INDEX('前提条件'!$B$20:$B$28,MATCH(E40,'前提条件'!$A$20:$A$28,0)),'前提条件'!$B$20)</f>
        <v>0.154</v>
      </c>
      <c r="G40" s="19" t="n">
        <v>29800</v>
      </c>
      <c r="H40" s="15" t="inlineStr">
        <is>
          <t>81.5×37×167.5cm・LED13色・鍵付き等。価格未確認</t>
        </is>
      </c>
      <c r="I40" s="24" t="n"/>
      <c r="J40" s="20" t="n">
        <v>420</v>
      </c>
      <c r="K40" s="19" t="n">
        <v>800</v>
      </c>
      <c r="L40" s="13" t="n">
        <v>175</v>
      </c>
      <c r="M40" s="13" t="n">
        <v>45</v>
      </c>
      <c r="N40" s="13" t="n">
        <v>25</v>
      </c>
      <c r="O40" s="21" t="n">
        <v>45</v>
      </c>
      <c r="P40" s="22">
        <f>L40+M40+N40</f>
        <v>245</v>
      </c>
      <c r="Q40" s="23">
        <f>L40*M40*N40/1000000</f>
        <v>0.196875</v>
      </c>
      <c r="R40" s="22">
        <f>MAX(MATCH(P40,'前提条件'!$C$34:$C$46,1),INDEX('前提条件'!$J$34:$J$41,MATCH(O40,'前提条件'!$H$34:$H$41,1)))</f>
        <v>12</v>
      </c>
      <c r="S40" s="15" t="str">
        <f>INDEX('前提条件'!$B$34:$B$46,R40)</f>
        <v>260サイズ</v>
      </c>
      <c r="T40" s="24">
        <f>INDEX('前提条件'!$E$34:$E$46,R40)*'前提条件'!$B$7</f>
        <v>4600</v>
      </c>
      <c r="U40" s="25" t="n">
        <v>0</v>
      </c>
      <c r="V40" s="24">
        <f>J40*'前提条件'!$B$4*(1+'前提条件'!$B$5)+K40+Q40*'前提条件'!$B$6+(J40*'前提条件'!$B$4*(1+'前提条件'!$B$5)+Q40*'前提条件'!$B$6)*U40</f>
        <v>14048.9</v>
      </c>
      <c r="W40" s="24">
        <f>G40/(1+'前提条件'!$B$13)</f>
        <v>27090.9090909091</v>
      </c>
      <c r="X40" s="24">
        <f>W40*(1-'前提条件'!$B$8-'前提条件'!$B$9)-G40*F40-T40-Q40*'前提条件'!$B$10*'前提条件'!$B$11-'前提条件'!$B$12-V40</f>
        <v>-1125.85568181819</v>
      </c>
      <c r="Y40" s="17">
        <f>IF(W40&gt;0,X40/W40,0)</f>
        <v>-0.0415584312080539</v>
      </c>
      <c r="Z40" s="17">
        <f>IF(W40&gt;0,(X40+W40*'前提条件'!$B$8)/W40,0)</f>
        <v>0.0584415687919462</v>
      </c>
      <c r="AA40" s="13" t="n">
        <v>40</v>
      </c>
      <c r="AB40" s="24">
        <f>X40*AA40</f>
        <v>-45034.2272727274</v>
      </c>
      <c r="AC40" s="22" t="str">
        <f>IF(X40&gt;0,ROUNDUP('前提条件'!$B$15/X40,0),"赤字")</f>
        <v>赤字</v>
      </c>
      <c r="AD40" s="24">
        <f>T40+(X40-'前提条件'!$B$14*W40)</f>
        <v>-589.492045454549</v>
      </c>
      <c r="AE40" s="26">
        <f>J40+(X40-'前提条件'!$B$14*W40)/('前提条件'!$B$4*(1+'前提条件'!$B$5)*(1+U40))</f>
        <v>219.788115530303</v>
      </c>
      <c r="AF40" s="15" t="str">
        <f>IF(Y40&gt;='前提条件'!$B$14,"◎ 15%以上",IF(Y40&gt;='前提条件'!$B$16,"△ 条件付き","× 除外"))</f>
        <v>× 除外</v>
      </c>
      <c r="AG40" s="15" t="inlineStr">
        <is>
          <t>ガラス大型で260サイズ・破損リスクが高い</t>
        </is>
      </c>
      <c r="AH40" s="18" t="inlineStr">
        <is>
          <t>https://search.kakaku.com/%E3%82%B3%E3%83%AC%E3%82%AF%E3%82%B7%E3%83%A7%E3%83%B3%E3%82%B1%E3%83%BC%E3%82%B9%20%E5%A4%A7%E5%9E%8B/</t>
        </is>
      </c>
      <c r="AI40" s="18" t="inlineStr">
        <is>
          <t>1688で検索</t>
        </is>
      </c>
      <c r="AJ40" s="18" t="inlineStr">
        <is>
          <t>Amazonで検索</t>
        </is>
      </c>
    </row>
    <row r="41" ht="60" customHeight="1">
      <c r="A41" s="28" t="n">
        <v>37</v>
      </c>
      <c r="B41" s="28" t="n">
        <v>36</v>
      </c>
      <c r="C41" s="28" t="inlineStr">
        <is>
          <t>追加30</t>
        </is>
      </c>
      <c r="D41" s="14" t="inlineStr">
        <is>
          <t>屋外収納ベンチ</t>
        </is>
      </c>
      <c r="E41" s="16" t="inlineStr">
        <is>
          <t>DIY・工具・ガーデン</t>
        </is>
      </c>
      <c r="F41" s="17">
        <f>IFERROR(INDEX('前提条件'!$B$20:$B$28,MATCH(E41,'前提条件'!$A$20:$A$28,0)),'前提条件'!$B$20)</f>
        <v>0.154</v>
      </c>
      <c r="G41" s="19" t="n">
        <v>19800</v>
      </c>
      <c r="H41" s="15" t="inlineStr">
        <is>
          <t>KETER エデン 265L（座面200kg）、Alebert 302L、山善 アカシア 97L</t>
        </is>
      </c>
      <c r="I41" s="24" t="n"/>
      <c r="J41" s="20" t="n">
        <v>240</v>
      </c>
      <c r="K41" s="19" t="n">
        <v>300</v>
      </c>
      <c r="L41" s="13" t="n">
        <v>125</v>
      </c>
      <c r="M41" s="13" t="n">
        <v>55</v>
      </c>
      <c r="N41" s="13" t="n">
        <v>30</v>
      </c>
      <c r="O41" s="21" t="n">
        <v>25</v>
      </c>
      <c r="P41" s="22">
        <f>L41+M41+N41</f>
        <v>210</v>
      </c>
      <c r="Q41" s="23">
        <f>L41*M41*N41/1000000</f>
        <v>0.20625</v>
      </c>
      <c r="R41" s="22">
        <f>MAX(MATCH(P41,'前提条件'!$C$34:$C$46,1),INDEX('前提条件'!$J$34:$J$41,MATCH(O41,'前提条件'!$H$34:$H$41,1)))</f>
        <v>10</v>
      </c>
      <c r="S41" s="15" t="str">
        <f>INDEX('前提条件'!$B$34:$B$46,R41)</f>
        <v>220サイズ</v>
      </c>
      <c r="T41" s="24">
        <f>INDEX('前提条件'!$E$34:$E$46,R41)*'前提条件'!$B$7</f>
        <v>3300</v>
      </c>
      <c r="U41" s="25" t="n">
        <v>0.039</v>
      </c>
      <c r="V41" s="24">
        <f>J41*'前提条件'!$B$4*(1+'前提条件'!$B$5)+K41+Q41*'前提条件'!$B$6+(J41*'前提条件'!$B$4*(1+'前提条件'!$B$5)+Q41*'前提条件'!$B$6)*U41</f>
        <v>9334.9362</v>
      </c>
      <c r="W41" s="24">
        <f>G41/(1+'前提条件'!$B$13)</f>
        <v>18000</v>
      </c>
      <c r="X41" s="24">
        <f>W41*(1-'前提条件'!$B$8-'前提条件'!$B$9)-G41*F41-T41-Q41*'前提条件'!$B$10*'前提条件'!$B$11-'前提条件'!$B$12-V41</f>
        <v>-1432.2612</v>
      </c>
      <c r="Y41" s="17">
        <f>IF(W41&gt;0,X41/W41,0)</f>
        <v>-0.0795700666666667</v>
      </c>
      <c r="Z41" s="17">
        <f>IF(W41&gt;0,(X41+W41*'前提条件'!$B$8)/W41,0)</f>
        <v>0.0204299333333333</v>
      </c>
      <c r="AA41" s="13" t="n">
        <v>120</v>
      </c>
      <c r="AB41" s="24">
        <f>X41*AA41</f>
        <v>-171871.344</v>
      </c>
      <c r="AC41" s="22" t="str">
        <f>IF(X41&gt;0,ROUNDUP('前提条件'!$B$15/X41,0),"赤字")</f>
        <v>赤字</v>
      </c>
      <c r="AD41" s="24">
        <f>T41+(X41-'前提条件'!$B$14*W41)</f>
        <v>-832.261200000001</v>
      </c>
      <c r="AE41" s="26">
        <f>J41+(X41-'前提条件'!$B$14*W41)/('前提条件'!$B$4*(1+'前提条件'!$B$5)*(1+U41))</f>
        <v>86.5604837272306</v>
      </c>
      <c r="AF41" s="15" t="str">
        <f>IF(Y41&gt;='前提条件'!$B$14,"◎ 15%以上",IF(Y41&gt;='前提条件'!$B$16,"△ 条件付き","× 除外"))</f>
        <v>× 除外</v>
      </c>
      <c r="AG41" s="15" t="inlineStr">
        <is>
          <t>樹脂でかさばり0.2m³超。たわみ・UV白化・完全防水でない点が不満</t>
        </is>
      </c>
      <c r="AH41" s="18" t="inlineStr">
        <is>
          <t>https://sakura-checker.jp/search/B0736Z2GRJ/</t>
        </is>
      </c>
      <c r="AI41" s="18" t="inlineStr">
        <is>
          <t>1688で検索</t>
        </is>
      </c>
      <c r="AJ41" s="18" t="inlineStr">
        <is>
          <t>Amazonで検索</t>
        </is>
      </c>
    </row>
    <row r="42" ht="60" customHeight="1">
      <c r="A42" s="28" t="n">
        <v>38</v>
      </c>
      <c r="B42" s="28" t="n">
        <v>34</v>
      </c>
      <c r="C42" s="28" t="inlineStr">
        <is>
          <t>追加30</t>
        </is>
      </c>
      <c r="D42" s="14" t="inlineStr">
        <is>
          <t>目隠しプランターフェンス</t>
        </is>
      </c>
      <c r="E42" s="16" t="inlineStr">
        <is>
          <t>DIY・工具・ガーデン</t>
        </is>
      </c>
      <c r="F42" s="17">
        <f>IFERROR(INDEX('前提条件'!$B$20:$B$28,MATCH(E42,'前提条件'!$A$20:$A$28,0)),'前提条件'!$B$20)</f>
        <v>0.154</v>
      </c>
      <c r="G42" s="19" t="n">
        <v>14980</v>
      </c>
      <c r="H42" s="15" t="inlineStr">
        <is>
          <t>樹脂製・日本製（ガーデンライフ彩）等。価格未確認</t>
        </is>
      </c>
      <c r="I42" s="24" t="n"/>
      <c r="J42" s="20" t="n">
        <v>150</v>
      </c>
      <c r="K42" s="19" t="n">
        <v>300</v>
      </c>
      <c r="L42" s="13" t="n">
        <v>185</v>
      </c>
      <c r="M42" s="13" t="n">
        <v>45</v>
      </c>
      <c r="N42" s="13" t="n">
        <v>15</v>
      </c>
      <c r="O42" s="21" t="n">
        <v>22</v>
      </c>
      <c r="P42" s="22">
        <f>L42+M42+N42</f>
        <v>245</v>
      </c>
      <c r="Q42" s="23">
        <f>L42*M42*N42/1000000</f>
        <v>0.124875</v>
      </c>
      <c r="R42" s="22">
        <f>MAX(MATCH(P42,'前提条件'!$C$34:$C$46,1),INDEX('前提条件'!$J$34:$J$41,MATCH(O42,'前提条件'!$H$34:$H$41,1)))</f>
        <v>12</v>
      </c>
      <c r="S42" s="15" t="str">
        <f>INDEX('前提条件'!$B$34:$B$46,R42)</f>
        <v>260サイズ</v>
      </c>
      <c r="T42" s="24">
        <f>INDEX('前提条件'!$E$34:$E$46,R42)*'前提条件'!$B$7</f>
        <v>4600</v>
      </c>
      <c r="U42" s="25" t="n">
        <v>0.039</v>
      </c>
      <c r="V42" s="24">
        <f>J42*'前提条件'!$B$4*(1+'前提条件'!$B$5)+K42+Q42*'前提条件'!$B$6+(J42*'前提条件'!$B$4*(1+'前提条件'!$B$5)+Q42*'前提条件'!$B$6)*U42</f>
        <v>5896.5735</v>
      </c>
      <c r="W42" s="24">
        <f>G42/(1+'前提条件'!$B$13)</f>
        <v>13618.1818181818</v>
      </c>
      <c r="X42" s="24">
        <f>W42*(1-'前提条件'!$B$8-'前提条件'!$B$9)-G42*F42-T42-Q42*'前提条件'!$B$10*'前提条件'!$B$11-'前提条件'!$B$12-V42</f>
        <v>-1953.79463636364</v>
      </c>
      <c r="Y42" s="17">
        <f>IF(W42&gt;0,X42/W42,0)</f>
        <v>-0.143469566088118</v>
      </c>
      <c r="Z42" s="17">
        <f>IF(W42&gt;0,(X42+W42*'前提条件'!$B$8)/W42,0)</f>
        <v>-0.0434695660881176</v>
      </c>
      <c r="AA42" s="13" t="n">
        <v>80</v>
      </c>
      <c r="AB42" s="24">
        <f>X42*AA42</f>
        <v>-156303.570909091</v>
      </c>
      <c r="AC42" s="22" t="str">
        <f>IF(X42&gt;0,ROUNDUP('前提条件'!$B$15/X42,0),"赤字")</f>
        <v>赤字</v>
      </c>
      <c r="AD42" s="24">
        <f>T42+(X42-'前提条件'!$B$14*W42)</f>
        <v>603.47809090909</v>
      </c>
      <c r="AE42" s="26">
        <f>J42+(X42-'前提条件'!$B$14*W42)/('前提条件'!$B$4*(1+'前提条件'!$B$5)*(1+U42))</f>
        <v>1.60076799974934</v>
      </c>
      <c r="AF42" s="15" t="str">
        <f>IF(Y42&gt;='前提条件'!$B$14,"◎ 15%以上",IF(Y42&gt;='前提条件'!$B$16,"△ 条件付き","× 除外"))</f>
        <v>× 除外</v>
      </c>
      <c r="AG42" s="15" t="inlineStr">
        <is>
          <t>長尺で260サイズ送料。パネル分割で160サイズ化しない限り不成立</t>
        </is>
      </c>
      <c r="AH42" s="18" t="inlineStr">
        <is>
          <t>https://gardenlife-sai.jp/</t>
        </is>
      </c>
      <c r="AI42" s="18" t="inlineStr">
        <is>
          <t>1688で検索</t>
        </is>
      </c>
      <c r="AJ42" s="18" t="inlineStr">
        <is>
          <t>Amazonで検索</t>
        </is>
      </c>
    </row>
    <row r="43" ht="60" customHeight="1">
      <c r="A43" s="28" t="n">
        <v>39</v>
      </c>
      <c r="B43" s="28" t="n">
        <v>40</v>
      </c>
      <c r="C43" s="28" t="inlineStr">
        <is>
          <t>追加30</t>
        </is>
      </c>
      <c r="D43" s="14" t="inlineStr">
        <is>
          <t>自立3連パーテーション</t>
        </is>
      </c>
      <c r="E43" s="16" t="inlineStr">
        <is>
          <t>ホーム&amp;キッチン</t>
        </is>
      </c>
      <c r="F43" s="17">
        <f>IFERROR(INDEX('前提条件'!$B$20:$B$28,MATCH(E43,'前提条件'!$A$20:$A$28,0)),'前提条件'!$B$20)</f>
        <v>0.154</v>
      </c>
      <c r="G43" s="19" t="n">
        <v>12800</v>
      </c>
      <c r="H43" s="15" t="inlineStr">
        <is>
          <t>3連 W44×H150、H180 3/4連等。価格未確認</t>
        </is>
      </c>
      <c r="I43" s="24" t="n"/>
      <c r="J43" s="20" t="n">
        <v>130</v>
      </c>
      <c r="K43" s="19" t="n">
        <v>300</v>
      </c>
      <c r="L43" s="13" t="n">
        <v>185</v>
      </c>
      <c r="M43" s="13" t="n">
        <v>55</v>
      </c>
      <c r="N43" s="13" t="n">
        <v>8</v>
      </c>
      <c r="O43" s="21" t="n">
        <v>14</v>
      </c>
      <c r="P43" s="22">
        <f>L43+M43+N43</f>
        <v>248</v>
      </c>
      <c r="Q43" s="23">
        <f>L43*M43*N43/1000000</f>
        <v>0.0814</v>
      </c>
      <c r="R43" s="22">
        <f>MAX(MATCH(P43,'前提条件'!$C$34:$C$46,1),INDEX('前提条件'!$J$34:$J$41,MATCH(O43,'前提条件'!$H$34:$H$41,1)))</f>
        <v>12</v>
      </c>
      <c r="S43" s="15" t="str">
        <f>INDEX('前提条件'!$B$34:$B$46,R43)</f>
        <v>260サイズ</v>
      </c>
      <c r="T43" s="24">
        <f>INDEX('前提条件'!$E$34:$E$46,R43)*'前提条件'!$B$7</f>
        <v>4600</v>
      </c>
      <c r="U43" s="25" t="n">
        <v>0</v>
      </c>
      <c r="V43" s="24">
        <f>J43*'前提条件'!$B$4*(1+'前提条件'!$B$5)+K43+Q43*'前提条件'!$B$6+(J43*'前提条件'!$B$4*(1+'前提条件'!$B$5)+Q43*'前提条件'!$B$6)*U43</f>
        <v>4646.4</v>
      </c>
      <c r="W43" s="24">
        <f>G43/(1+'前提条件'!$B$13)</f>
        <v>11636.3636363636</v>
      </c>
      <c r="X43" s="24">
        <f>W43*(1-'前提条件'!$B$8-'前提条件'!$B$9)-G43*F43-T43-Q43*'前提条件'!$B$10*'前提条件'!$B$11-'前提条件'!$B$12-V43</f>
        <v>-1876.62727272727</v>
      </c>
      <c r="Y43" s="17">
        <f>IF(W43&gt;0,X43/W43,0)</f>
        <v>-0.16127265625</v>
      </c>
      <c r="Z43" s="17">
        <f>IF(W43&gt;0,(X43+W43*'前提条件'!$B$8)/W43,0)</f>
        <v>-0.0612726562500001</v>
      </c>
      <c r="AA43" s="13" t="n">
        <v>60</v>
      </c>
      <c r="AB43" s="24">
        <f>X43*AA43</f>
        <v>-112597.636363636</v>
      </c>
      <c r="AC43" s="22" t="str">
        <f>IF(X43&gt;0,ROUNDUP('前提条件'!$B$15/X43,0),"赤字")</f>
        <v>赤字</v>
      </c>
      <c r="AD43" s="24">
        <f>T43+(X43-'前提条件'!$B$14*W43)</f>
        <v>977.918181818181</v>
      </c>
      <c r="AE43" s="26">
        <f>J43+(X43-'前提条件'!$B$14*W43)/('前提条件'!$B$4*(1+'前提条件'!$B$5)*(1+U43))</f>
        <v>-9.74081088664426</v>
      </c>
      <c r="AF43" s="15" t="str">
        <f>IF(Y43&gt;='前提条件'!$B$14,"◎ 15%以上",IF(Y43&gt;='前提条件'!$B$16,"△ 条件付き","× 除外"))</f>
        <v>× 除外</v>
      </c>
      <c r="AG43" s="15" t="inlineStr">
        <is>
          <t>長尺で260サイズ送料</t>
        </is>
      </c>
      <c r="AH43" s="18" t="inlineStr">
        <is>
          <t>https://search.kakaku.com/3%E9%80%A3%20%E3%83%91%E3%83%BC%E3%83%86%E3%83%BC%E3%82%B7%E3%83%A7%E3%83%B3/</t>
        </is>
      </c>
      <c r="AI43" s="18" t="inlineStr">
        <is>
          <t>1688で検索</t>
        </is>
      </c>
      <c r="AJ43" s="18" t="inlineStr">
        <is>
          <t>Amazonで検索</t>
        </is>
      </c>
    </row>
    <row r="44" ht="60" customHeight="1">
      <c r="A44" s="28" t="n">
        <v>40</v>
      </c>
      <c r="B44" s="28" t="n">
        <v>39</v>
      </c>
      <c r="C44" s="28" t="inlineStr">
        <is>
          <t>追加30</t>
        </is>
      </c>
      <c r="D44" s="14" t="inlineStr">
        <is>
          <t>移動ホワイトボード（1800×900両面）</t>
        </is>
      </c>
      <c r="E44" s="16" t="inlineStr">
        <is>
          <t>文房具・オフィス用品</t>
        </is>
      </c>
      <c r="F44" s="17">
        <f>IFERROR(INDEX('前提条件'!$B$20:$B$28,MATCH(E44,'前提条件'!$A$20:$A$28,0)),'前提条件'!$B$20)</f>
        <v>0.154</v>
      </c>
      <c r="G44" s="19" t="n">
        <v>19800</v>
      </c>
      <c r="H44" s="15" t="inlineStr">
        <is>
          <t>SKK 1800×900 両面・回転 ¥16,980例（Yahoo!『tenton-store』出品）</t>
        </is>
      </c>
      <c r="I44" s="24" t="n"/>
      <c r="J44" s="20" t="n">
        <v>260</v>
      </c>
      <c r="K44" s="19" t="n">
        <v>400</v>
      </c>
      <c r="L44" s="13" t="n">
        <v>185</v>
      </c>
      <c r="M44" s="13" t="n">
        <v>95</v>
      </c>
      <c r="N44" s="13" t="n">
        <v>6</v>
      </c>
      <c r="O44" s="21" t="n">
        <v>30</v>
      </c>
      <c r="P44" s="22">
        <f>L44+M44+N44</f>
        <v>286</v>
      </c>
      <c r="Q44" s="23">
        <f>L44*M44*N44/1000000</f>
        <v>0.10545</v>
      </c>
      <c r="R44" s="22">
        <f>MAX(MATCH(P44,'前提条件'!$C$34:$C$46,1),INDEX('前提条件'!$J$34:$J$41,MATCH(O44,'前提条件'!$H$34:$H$41,1)))</f>
        <v>13</v>
      </c>
      <c r="S44" s="15" t="str">
        <f>INDEX('前提条件'!$B$34:$B$46,R44)</f>
        <v>家財便・チャーター</v>
      </c>
      <c r="T44" s="24">
        <f>INDEX('前提条件'!$E$34:$E$46,R44)*'前提条件'!$B$7</f>
        <v>7000</v>
      </c>
      <c r="U44" s="25" t="n">
        <v>0.039</v>
      </c>
      <c r="V44" s="24">
        <f>J44*'前提条件'!$B$4*(1+'前提条件'!$B$5)+K44+Q44*'前提条件'!$B$6+(J44*'前提条件'!$B$4*(1+'前提条件'!$B$5)+Q44*'前提条件'!$B$6)*U44</f>
        <v>8716.7794</v>
      </c>
      <c r="W44" s="24">
        <f>G44/(1+'前提条件'!$B$13)</f>
        <v>18000</v>
      </c>
      <c r="X44" s="24">
        <f>W44*(1-'前提条件'!$B$8-'前提条件'!$B$9)-G44*F44-T44-Q44*'前提条件'!$B$10*'前提条件'!$B$11-'前提条件'!$B$12-V44</f>
        <v>-4060.5044</v>
      </c>
      <c r="Y44" s="17">
        <f>IF(W44&gt;0,X44/W44,0)</f>
        <v>-0.225583577777778</v>
      </c>
      <c r="Z44" s="17">
        <f>IF(W44&gt;0,(X44+W44*'前提条件'!$B$8)/W44,0)</f>
        <v>-0.125583577777778</v>
      </c>
      <c r="AA44" s="13" t="n">
        <v>80</v>
      </c>
      <c r="AB44" s="24">
        <f>X44*AA44</f>
        <v>-324840.352</v>
      </c>
      <c r="AC44" s="22" t="str">
        <f>IF(X44&gt;0,ROUNDUP('前提条件'!$B$15/X44,0),"赤字")</f>
        <v>赤字</v>
      </c>
      <c r="AD44" s="24">
        <f>T44+(X44-'前提条件'!$B$14*W44)</f>
        <v>239.4956</v>
      </c>
      <c r="AE44" s="26">
        <f>J44+(X44-'前提条件'!$B$14*W44)/('前提条件'!$B$4*(1+'前提条件'!$B$5)*(1+U44))</f>
        <v>8.96830701410426</v>
      </c>
      <c r="AF44" s="15" t="str">
        <f>IF(Y44&gt;='前提条件'!$B$14,"◎ 15%以上",IF(Y44&gt;='前提条件'!$B$16,"△ 条件付き","× 除外"))</f>
        <v>× 除外</v>
      </c>
      <c r="AG44" s="15" t="inlineStr">
        <is>
          <t>板が大きく家財便扱い（3辺286cm）。天瞳系ストアが既に販売＝チャーター便前提の商材。天瞳の大型配送単価を確認して再評価</t>
        </is>
      </c>
      <c r="AH44" s="18" t="inlineStr">
        <is>
          <t>https://store.shopping.yahoo.co.jp/tenton-store/whiteboard90180.html</t>
        </is>
      </c>
      <c r="AI44" s="18" t="inlineStr">
        <is>
          <t>1688で検索</t>
        </is>
      </c>
      <c r="AJ44" s="18" t="inlineStr">
        <is>
          <t>Amazonで検索</t>
        </is>
      </c>
    </row>
  </sheetData>
  <autoFilter ref="A4:AJ44"/>
  <mergeCells count="6">
    <mergeCell ref="J3:U3"/>
    <mergeCell ref="V3:Z3"/>
    <mergeCell ref="AG3:AJ3"/>
    <mergeCell ref="AD3:AF3"/>
    <mergeCell ref="A3:I3"/>
    <mergeCell ref="AA3:AC3"/>
  </mergeCells>
  <hyperlinks>
    <hyperlink xmlns:r="http://schemas.openxmlformats.org/officeDocument/2006/relationships" ref="AH5" r:id="rId1"/>
    <hyperlink xmlns:r="http://schemas.openxmlformats.org/officeDocument/2006/relationships" ref="AI5" r:id="rId2"/>
    <hyperlink xmlns:r="http://schemas.openxmlformats.org/officeDocument/2006/relationships" ref="AJ5" r:id="rId3"/>
    <hyperlink xmlns:r="http://schemas.openxmlformats.org/officeDocument/2006/relationships" ref="AH6" r:id="rId4"/>
    <hyperlink xmlns:r="http://schemas.openxmlformats.org/officeDocument/2006/relationships" ref="AI6" r:id="rId5"/>
    <hyperlink xmlns:r="http://schemas.openxmlformats.org/officeDocument/2006/relationships" ref="AJ6" r:id="rId6"/>
    <hyperlink xmlns:r="http://schemas.openxmlformats.org/officeDocument/2006/relationships" ref="AH7" r:id="rId7"/>
    <hyperlink xmlns:r="http://schemas.openxmlformats.org/officeDocument/2006/relationships" ref="AI7" r:id="rId8"/>
    <hyperlink xmlns:r="http://schemas.openxmlformats.org/officeDocument/2006/relationships" ref="AJ7" r:id="rId9"/>
    <hyperlink xmlns:r="http://schemas.openxmlformats.org/officeDocument/2006/relationships" ref="AH8" r:id="rId10"/>
    <hyperlink xmlns:r="http://schemas.openxmlformats.org/officeDocument/2006/relationships" ref="AI8" r:id="rId11"/>
    <hyperlink xmlns:r="http://schemas.openxmlformats.org/officeDocument/2006/relationships" ref="AJ8" r:id="rId12"/>
    <hyperlink xmlns:r="http://schemas.openxmlformats.org/officeDocument/2006/relationships" ref="AH9" r:id="rId13"/>
    <hyperlink xmlns:r="http://schemas.openxmlformats.org/officeDocument/2006/relationships" ref="AI9" r:id="rId14"/>
    <hyperlink xmlns:r="http://schemas.openxmlformats.org/officeDocument/2006/relationships" ref="AJ9" r:id="rId15"/>
    <hyperlink xmlns:r="http://schemas.openxmlformats.org/officeDocument/2006/relationships" ref="AH10" r:id="rId16"/>
    <hyperlink xmlns:r="http://schemas.openxmlformats.org/officeDocument/2006/relationships" ref="AI10" r:id="rId17"/>
    <hyperlink xmlns:r="http://schemas.openxmlformats.org/officeDocument/2006/relationships" ref="AJ10" r:id="rId18"/>
    <hyperlink xmlns:r="http://schemas.openxmlformats.org/officeDocument/2006/relationships" ref="AH11" r:id="rId19"/>
    <hyperlink xmlns:r="http://schemas.openxmlformats.org/officeDocument/2006/relationships" ref="AI11" r:id="rId20"/>
    <hyperlink xmlns:r="http://schemas.openxmlformats.org/officeDocument/2006/relationships" ref="AJ11" r:id="rId21"/>
    <hyperlink xmlns:r="http://schemas.openxmlformats.org/officeDocument/2006/relationships" ref="AH12" r:id="rId22"/>
    <hyperlink xmlns:r="http://schemas.openxmlformats.org/officeDocument/2006/relationships" ref="AI12" r:id="rId23"/>
    <hyperlink xmlns:r="http://schemas.openxmlformats.org/officeDocument/2006/relationships" ref="AJ12" r:id="rId24"/>
    <hyperlink xmlns:r="http://schemas.openxmlformats.org/officeDocument/2006/relationships" ref="AH13" r:id="rId25"/>
    <hyperlink xmlns:r="http://schemas.openxmlformats.org/officeDocument/2006/relationships" ref="AI13" r:id="rId26"/>
    <hyperlink xmlns:r="http://schemas.openxmlformats.org/officeDocument/2006/relationships" ref="AJ13" r:id="rId27"/>
    <hyperlink xmlns:r="http://schemas.openxmlformats.org/officeDocument/2006/relationships" ref="AH14" r:id="rId28"/>
    <hyperlink xmlns:r="http://schemas.openxmlformats.org/officeDocument/2006/relationships" ref="AI14" r:id="rId29"/>
    <hyperlink xmlns:r="http://schemas.openxmlformats.org/officeDocument/2006/relationships" ref="AJ14" r:id="rId30"/>
    <hyperlink xmlns:r="http://schemas.openxmlformats.org/officeDocument/2006/relationships" ref="AH15" r:id="rId31"/>
    <hyperlink xmlns:r="http://schemas.openxmlformats.org/officeDocument/2006/relationships" ref="AI15" r:id="rId32"/>
    <hyperlink xmlns:r="http://schemas.openxmlformats.org/officeDocument/2006/relationships" ref="AJ15" r:id="rId33"/>
    <hyperlink xmlns:r="http://schemas.openxmlformats.org/officeDocument/2006/relationships" ref="AH16" r:id="rId34"/>
    <hyperlink xmlns:r="http://schemas.openxmlformats.org/officeDocument/2006/relationships" ref="AI16" r:id="rId35"/>
    <hyperlink xmlns:r="http://schemas.openxmlformats.org/officeDocument/2006/relationships" ref="AJ16" r:id="rId36"/>
    <hyperlink xmlns:r="http://schemas.openxmlformats.org/officeDocument/2006/relationships" ref="AH17" r:id="rId37"/>
    <hyperlink xmlns:r="http://schemas.openxmlformats.org/officeDocument/2006/relationships" ref="AI17" r:id="rId38"/>
    <hyperlink xmlns:r="http://schemas.openxmlformats.org/officeDocument/2006/relationships" ref="AJ17" r:id="rId39"/>
    <hyperlink xmlns:r="http://schemas.openxmlformats.org/officeDocument/2006/relationships" ref="AH18" r:id="rId40"/>
    <hyperlink xmlns:r="http://schemas.openxmlformats.org/officeDocument/2006/relationships" ref="AI18" r:id="rId41"/>
    <hyperlink xmlns:r="http://schemas.openxmlformats.org/officeDocument/2006/relationships" ref="AJ18" r:id="rId42"/>
    <hyperlink xmlns:r="http://schemas.openxmlformats.org/officeDocument/2006/relationships" ref="AH19" r:id="rId43"/>
    <hyperlink xmlns:r="http://schemas.openxmlformats.org/officeDocument/2006/relationships" ref="AI19" r:id="rId44"/>
    <hyperlink xmlns:r="http://schemas.openxmlformats.org/officeDocument/2006/relationships" ref="AJ19" r:id="rId45"/>
    <hyperlink xmlns:r="http://schemas.openxmlformats.org/officeDocument/2006/relationships" ref="AH20" r:id="rId46"/>
    <hyperlink xmlns:r="http://schemas.openxmlformats.org/officeDocument/2006/relationships" ref="AI20" r:id="rId47"/>
    <hyperlink xmlns:r="http://schemas.openxmlformats.org/officeDocument/2006/relationships" ref="AJ20" r:id="rId48"/>
    <hyperlink xmlns:r="http://schemas.openxmlformats.org/officeDocument/2006/relationships" ref="AH21" r:id="rId49"/>
    <hyperlink xmlns:r="http://schemas.openxmlformats.org/officeDocument/2006/relationships" ref="AI21" r:id="rId50"/>
    <hyperlink xmlns:r="http://schemas.openxmlformats.org/officeDocument/2006/relationships" ref="AJ21" r:id="rId51"/>
    <hyperlink xmlns:r="http://schemas.openxmlformats.org/officeDocument/2006/relationships" ref="AH22" r:id="rId52"/>
    <hyperlink xmlns:r="http://schemas.openxmlformats.org/officeDocument/2006/relationships" ref="AI22" r:id="rId53"/>
    <hyperlink xmlns:r="http://schemas.openxmlformats.org/officeDocument/2006/relationships" ref="AJ22" r:id="rId54"/>
    <hyperlink xmlns:r="http://schemas.openxmlformats.org/officeDocument/2006/relationships" ref="AH23" r:id="rId55"/>
    <hyperlink xmlns:r="http://schemas.openxmlformats.org/officeDocument/2006/relationships" ref="AI23" r:id="rId56"/>
    <hyperlink xmlns:r="http://schemas.openxmlformats.org/officeDocument/2006/relationships" ref="AJ23" r:id="rId57"/>
    <hyperlink xmlns:r="http://schemas.openxmlformats.org/officeDocument/2006/relationships" ref="AH24" r:id="rId58"/>
    <hyperlink xmlns:r="http://schemas.openxmlformats.org/officeDocument/2006/relationships" ref="AI24" r:id="rId59"/>
    <hyperlink xmlns:r="http://schemas.openxmlformats.org/officeDocument/2006/relationships" ref="AJ24" r:id="rId60"/>
    <hyperlink xmlns:r="http://schemas.openxmlformats.org/officeDocument/2006/relationships" ref="AH25" r:id="rId61"/>
    <hyperlink xmlns:r="http://schemas.openxmlformats.org/officeDocument/2006/relationships" ref="AI25" r:id="rId62"/>
    <hyperlink xmlns:r="http://schemas.openxmlformats.org/officeDocument/2006/relationships" ref="AJ25" r:id="rId63"/>
    <hyperlink xmlns:r="http://schemas.openxmlformats.org/officeDocument/2006/relationships" ref="AH26" r:id="rId64"/>
    <hyperlink xmlns:r="http://schemas.openxmlformats.org/officeDocument/2006/relationships" ref="AI26" r:id="rId65"/>
    <hyperlink xmlns:r="http://schemas.openxmlformats.org/officeDocument/2006/relationships" ref="AJ26" r:id="rId66"/>
    <hyperlink xmlns:r="http://schemas.openxmlformats.org/officeDocument/2006/relationships" ref="AH27" r:id="rId67"/>
    <hyperlink xmlns:r="http://schemas.openxmlformats.org/officeDocument/2006/relationships" ref="AI27" r:id="rId68"/>
    <hyperlink xmlns:r="http://schemas.openxmlformats.org/officeDocument/2006/relationships" ref="AJ27" r:id="rId69"/>
    <hyperlink xmlns:r="http://schemas.openxmlformats.org/officeDocument/2006/relationships" ref="AH28" r:id="rId70"/>
    <hyperlink xmlns:r="http://schemas.openxmlformats.org/officeDocument/2006/relationships" ref="AI28" r:id="rId71"/>
    <hyperlink xmlns:r="http://schemas.openxmlformats.org/officeDocument/2006/relationships" ref="AJ28" r:id="rId72"/>
    <hyperlink xmlns:r="http://schemas.openxmlformats.org/officeDocument/2006/relationships" ref="AH29" r:id="rId73"/>
    <hyperlink xmlns:r="http://schemas.openxmlformats.org/officeDocument/2006/relationships" ref="AI29" r:id="rId74"/>
    <hyperlink xmlns:r="http://schemas.openxmlformats.org/officeDocument/2006/relationships" ref="AJ29" r:id="rId75"/>
    <hyperlink xmlns:r="http://schemas.openxmlformats.org/officeDocument/2006/relationships" ref="AH30" r:id="rId76"/>
    <hyperlink xmlns:r="http://schemas.openxmlformats.org/officeDocument/2006/relationships" ref="AI30" r:id="rId77"/>
    <hyperlink xmlns:r="http://schemas.openxmlformats.org/officeDocument/2006/relationships" ref="AJ30" r:id="rId78"/>
    <hyperlink xmlns:r="http://schemas.openxmlformats.org/officeDocument/2006/relationships" ref="AH31" r:id="rId79"/>
    <hyperlink xmlns:r="http://schemas.openxmlformats.org/officeDocument/2006/relationships" ref="AI31" r:id="rId80"/>
    <hyperlink xmlns:r="http://schemas.openxmlformats.org/officeDocument/2006/relationships" ref="AJ31" r:id="rId81"/>
    <hyperlink xmlns:r="http://schemas.openxmlformats.org/officeDocument/2006/relationships" ref="AH32" r:id="rId82"/>
    <hyperlink xmlns:r="http://schemas.openxmlformats.org/officeDocument/2006/relationships" ref="AI32" r:id="rId83"/>
    <hyperlink xmlns:r="http://schemas.openxmlformats.org/officeDocument/2006/relationships" ref="AJ32" r:id="rId84"/>
    <hyperlink xmlns:r="http://schemas.openxmlformats.org/officeDocument/2006/relationships" ref="AH33" r:id="rId85"/>
    <hyperlink xmlns:r="http://schemas.openxmlformats.org/officeDocument/2006/relationships" ref="AI33" r:id="rId86"/>
    <hyperlink xmlns:r="http://schemas.openxmlformats.org/officeDocument/2006/relationships" ref="AJ33" r:id="rId87"/>
    <hyperlink xmlns:r="http://schemas.openxmlformats.org/officeDocument/2006/relationships" ref="AH34" r:id="rId88"/>
    <hyperlink xmlns:r="http://schemas.openxmlformats.org/officeDocument/2006/relationships" ref="AI34" r:id="rId89"/>
    <hyperlink xmlns:r="http://schemas.openxmlformats.org/officeDocument/2006/relationships" ref="AJ34" r:id="rId90"/>
    <hyperlink xmlns:r="http://schemas.openxmlformats.org/officeDocument/2006/relationships" ref="AH35" r:id="rId91"/>
    <hyperlink xmlns:r="http://schemas.openxmlformats.org/officeDocument/2006/relationships" ref="AI35" r:id="rId92"/>
    <hyperlink xmlns:r="http://schemas.openxmlformats.org/officeDocument/2006/relationships" ref="AJ35" r:id="rId93"/>
    <hyperlink xmlns:r="http://schemas.openxmlformats.org/officeDocument/2006/relationships" ref="AH36" r:id="rId94"/>
    <hyperlink xmlns:r="http://schemas.openxmlformats.org/officeDocument/2006/relationships" ref="AI36" r:id="rId95"/>
    <hyperlink xmlns:r="http://schemas.openxmlformats.org/officeDocument/2006/relationships" ref="AJ36" r:id="rId96"/>
    <hyperlink xmlns:r="http://schemas.openxmlformats.org/officeDocument/2006/relationships" ref="AH37" r:id="rId97"/>
    <hyperlink xmlns:r="http://schemas.openxmlformats.org/officeDocument/2006/relationships" ref="AI37" r:id="rId98"/>
    <hyperlink xmlns:r="http://schemas.openxmlformats.org/officeDocument/2006/relationships" ref="AJ37" r:id="rId99"/>
    <hyperlink xmlns:r="http://schemas.openxmlformats.org/officeDocument/2006/relationships" ref="AH38" r:id="rId100"/>
    <hyperlink xmlns:r="http://schemas.openxmlformats.org/officeDocument/2006/relationships" ref="AI38" r:id="rId101"/>
    <hyperlink xmlns:r="http://schemas.openxmlformats.org/officeDocument/2006/relationships" ref="AJ38" r:id="rId102"/>
    <hyperlink xmlns:r="http://schemas.openxmlformats.org/officeDocument/2006/relationships" ref="AH39" r:id="rId103"/>
    <hyperlink xmlns:r="http://schemas.openxmlformats.org/officeDocument/2006/relationships" ref="AI39" r:id="rId104"/>
    <hyperlink xmlns:r="http://schemas.openxmlformats.org/officeDocument/2006/relationships" ref="AJ39" r:id="rId105"/>
    <hyperlink xmlns:r="http://schemas.openxmlformats.org/officeDocument/2006/relationships" ref="AH40" r:id="rId106"/>
    <hyperlink xmlns:r="http://schemas.openxmlformats.org/officeDocument/2006/relationships" ref="AI40" r:id="rId107"/>
    <hyperlink xmlns:r="http://schemas.openxmlformats.org/officeDocument/2006/relationships" ref="AJ40" r:id="rId108"/>
    <hyperlink xmlns:r="http://schemas.openxmlformats.org/officeDocument/2006/relationships" ref="AH41" r:id="rId109"/>
    <hyperlink xmlns:r="http://schemas.openxmlformats.org/officeDocument/2006/relationships" ref="AI41" r:id="rId110"/>
    <hyperlink xmlns:r="http://schemas.openxmlformats.org/officeDocument/2006/relationships" ref="AJ41" r:id="rId111"/>
    <hyperlink xmlns:r="http://schemas.openxmlformats.org/officeDocument/2006/relationships" ref="AH42" r:id="rId112"/>
    <hyperlink xmlns:r="http://schemas.openxmlformats.org/officeDocument/2006/relationships" ref="AI42" r:id="rId113"/>
    <hyperlink xmlns:r="http://schemas.openxmlformats.org/officeDocument/2006/relationships" ref="AJ42" r:id="rId114"/>
    <hyperlink xmlns:r="http://schemas.openxmlformats.org/officeDocument/2006/relationships" ref="AH43" r:id="rId115"/>
    <hyperlink xmlns:r="http://schemas.openxmlformats.org/officeDocument/2006/relationships" ref="AI43" r:id="rId116"/>
    <hyperlink xmlns:r="http://schemas.openxmlformats.org/officeDocument/2006/relationships" ref="AJ43" r:id="rId117"/>
    <hyperlink xmlns:r="http://schemas.openxmlformats.org/officeDocument/2006/relationships" ref="AH44" r:id="rId118"/>
    <hyperlink xmlns:r="http://schemas.openxmlformats.org/officeDocument/2006/relationships" ref="AI44" r:id="rId119"/>
    <hyperlink xmlns:r="http://schemas.openxmlformats.org/officeDocument/2006/relationships" ref="AJ44" r:id="rId120"/>
  </hyperlink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58" customWidth="1" min="4" max="4"/>
    <col width="44" customWidth="1" min="5" max="5"/>
    <col width="34" customWidth="1" min="6" max="6"/>
    <col width="14" customWidth="1" min="8" max="8"/>
    <col width="14" customWidth="1" min="9" max="9"/>
    <col width="12" customWidth="1" min="10" max="10"/>
    <col width="26" customWidth="1" min="11" max="11"/>
  </cols>
  <sheetData>
    <row r="1">
      <c r="A1" s="1" t="inlineStr">
        <is>
          <t>前提条件（青字の値を書き換えると全シートが再計算されます）</t>
        </is>
      </c>
    </row>
    <row r="2">
      <c r="A2" s="38" t="inlineStr">
        <is>
          <t>※ 国際送料・国内送料・保管料・出荷作業料は、天瞳の送料資料（今回のチャットでは本環境から参照できず）の数値に差し替えてください。現在の値は公開相場からの仮置きです。</t>
        </is>
      </c>
    </row>
    <row r="3">
      <c r="A3" s="5" t="inlineStr">
        <is>
          <t>項目</t>
        </is>
      </c>
      <c r="B3" s="5" t="inlineStr">
        <is>
          <t>値</t>
        </is>
      </c>
      <c r="C3" s="5" t="inlineStr">
        <is>
          <t>単位</t>
        </is>
      </c>
      <c r="D3" s="5" t="inlineStr">
        <is>
          <t>根拠・出典</t>
        </is>
      </c>
      <c r="E3" s="5" t="inlineStr">
        <is>
          <t>備考</t>
        </is>
      </c>
    </row>
    <row r="4">
      <c r="A4" s="31" t="inlineStr">
        <is>
          <t>為替（円/元）</t>
        </is>
      </c>
      <c r="B4" s="39" t="n">
        <v>24</v>
      </c>
      <c r="C4" s="40" t="inlineStr">
        <is>
          <t>円/元</t>
        </is>
      </c>
      <c r="D4" s="15" t="inlineStr">
        <is>
          <t>2026-09-24 実勢 約23.65円（三菱UFJリサーチ&amp;コンサルティング等）</t>
        </is>
      </c>
      <c r="E4" s="15" t="inlineStr">
        <is>
          <t>送金・両替コスト分の安全マージンを上乗せ</t>
        </is>
      </c>
    </row>
    <row r="5">
      <c r="A5" s="31" t="inlineStr">
        <is>
          <t>中国側諸費用率</t>
        </is>
      </c>
      <c r="B5" s="25" t="n">
        <v>0.08</v>
      </c>
      <c r="C5" s="40" t="inlineStr">
        <is>
          <t>仕入額比</t>
        </is>
      </c>
      <c r="D5" s="15" t="inlineStr">
        <is>
          <t>工場→中国倉庫の国内運賃・検品・代行手数料の想定</t>
        </is>
      </c>
      <c r="E5" s="15" t="inlineStr">
        <is>
          <t>天瞳の手数料体系に合わせて修正</t>
        </is>
      </c>
    </row>
    <row r="6">
      <c r="A6" s="31" t="inlineStr">
        <is>
          <t>国際送料単価（船便混載・日本倉庫着・通関込）</t>
        </is>
      </c>
      <c r="B6" s="41" t="n">
        <v>12000</v>
      </c>
      <c r="C6" s="40" t="inlineStr">
        <is>
          <t>円/m³</t>
        </is>
      </c>
      <c r="D6" s="15" t="inlineStr">
        <is>
          <t>公開相場：1CBM 7,800円（クレスト国際貿易）〜1,900元/m³≈40,850円（海源物流）</t>
        </is>
      </c>
      <c r="E6" s="15" t="inlineStr">
        <is>
          <t>関税・輸入消費税は別計算。天瞳資料の立米単価に差し替え</t>
        </is>
      </c>
    </row>
    <row r="7">
      <c r="A7" s="31" t="inlineStr">
        <is>
          <t>国内送料 補正係数</t>
        </is>
      </c>
      <c r="B7" s="32" t="n">
        <v>1</v>
      </c>
      <c r="C7" s="40" t="inlineStr">
        <is>
          <t>倍</t>
        </is>
      </c>
      <c r="D7" s="15" t="inlineStr">
        <is>
          <t>送料表（下）全体を一括で増減</t>
        </is>
      </c>
      <c r="E7" s="15" t="inlineStr">
        <is>
          <t>例：天瞳料金が送料表より2割安い→0.8</t>
        </is>
      </c>
    </row>
    <row r="8">
      <c r="A8" s="31" t="inlineStr">
        <is>
          <t>広告費率</t>
        </is>
      </c>
      <c r="B8" s="25" t="n">
        <v>0.1</v>
      </c>
      <c r="C8" s="40" t="inlineStr">
        <is>
          <t>税抜売上比</t>
        </is>
      </c>
      <c r="D8" s="15" t="inlineStr">
        <is>
          <t>前回ChatGPT案と同じ10%（立上げ期を含む平均）</t>
        </is>
      </c>
      <c r="E8" s="15" t="inlineStr">
        <is>
          <t>安定期は5〜7%に下がる想定</t>
        </is>
      </c>
    </row>
    <row r="9">
      <c r="A9" s="31" t="inlineStr">
        <is>
          <t>返品・破損引当率</t>
        </is>
      </c>
      <c r="B9" s="25" t="n">
        <v>0.04</v>
      </c>
      <c r="C9" s="40" t="inlineStr">
        <is>
          <t>税抜売上比</t>
        </is>
      </c>
      <c r="D9" s="15" t="inlineStr">
        <is>
          <t>前回案と同じ4%</t>
        </is>
      </c>
      <c r="E9" s="15" t="inlineStr">
        <is>
          <t>大型品は返送料が高いため据え置き</t>
        </is>
      </c>
    </row>
    <row r="10">
      <c r="A10" s="31" t="inlineStr">
        <is>
          <t>保管料単価</t>
        </is>
      </c>
      <c r="B10" s="41" t="n">
        <v>3000</v>
      </c>
      <c r="C10" s="40" t="inlineStr">
        <is>
          <t>円/m³/月</t>
        </is>
      </c>
      <c r="D10" s="15" t="inlineStr">
        <is>
          <t>国内3PLの一般的な水準（仮置き）</t>
        </is>
      </c>
      <c r="E10" s="15" t="inlineStr">
        <is>
          <t>天瞳倉庫の保管料に差し替え</t>
        </is>
      </c>
    </row>
    <row r="11">
      <c r="A11" s="31" t="inlineStr">
        <is>
          <t>平均在庫月数</t>
        </is>
      </c>
      <c r="B11" s="21" t="n">
        <v>1.5</v>
      </c>
      <c r="C11" s="40" t="inlineStr">
        <is>
          <t>か月</t>
        </is>
      </c>
      <c r="D11" s="15" t="inlineStr">
        <is>
          <t>船便リードタイムを踏まえた平均在庫</t>
        </is>
      </c>
      <c r="E11" s="15" t="inlineStr"/>
    </row>
    <row r="12">
      <c r="A12" s="31" t="inlineStr">
        <is>
          <t>出荷作業料</t>
        </is>
      </c>
      <c r="B12" s="41" t="n">
        <v>300</v>
      </c>
      <c r="C12" s="40" t="inlineStr">
        <is>
          <t>円/個</t>
        </is>
      </c>
      <c r="D12" s="15" t="inlineStr">
        <is>
          <t>大型品のピッキング・梱包の仮置き</t>
        </is>
      </c>
      <c r="E12" s="15" t="inlineStr">
        <is>
          <t>天瞳の発送システム料金に差し替え</t>
        </is>
      </c>
    </row>
    <row r="13">
      <c r="A13" s="31" t="inlineStr">
        <is>
          <t>消費税率</t>
        </is>
      </c>
      <c r="B13" s="25" t="n">
        <v>0.1</v>
      </c>
      <c r="C13" s="40" t="inlineStr"/>
      <c r="D13" s="15" t="inlineStr">
        <is>
          <t>売上・手数料の税抜換算に使用（輸入消費税は仕入税額控除で回収する前提）</t>
        </is>
      </c>
      <c r="E13" s="15" t="inlineStr"/>
    </row>
    <row r="14">
      <c r="A14" s="31" t="inlineStr">
        <is>
          <t>目標利益率（判定ライン）</t>
        </is>
      </c>
      <c r="B14" s="25" t="n">
        <v>0.15</v>
      </c>
      <c r="C14" s="40" t="inlineStr">
        <is>
          <t>税抜売上比</t>
        </is>
      </c>
      <c r="D14" s="15" t="inlineStr">
        <is>
          <t>ユーザー指定：15%以上</t>
        </is>
      </c>
      <c r="E14" s="15" t="inlineStr">
        <is>
          <t>広告・返品・保管・出荷作業を控除した後の利益率</t>
        </is>
      </c>
    </row>
    <row r="15">
      <c r="A15" s="31" t="inlineStr">
        <is>
          <t>目標月利</t>
        </is>
      </c>
      <c r="B15" s="19" t="n">
        <v>1000000</v>
      </c>
      <c r="C15" s="40" t="inlineStr">
        <is>
          <t>円/月</t>
        </is>
      </c>
      <c r="D15" s="15" t="inlineStr">
        <is>
          <t>ユーザー指定：月利100万円以上</t>
        </is>
      </c>
      <c r="E15" s="15" t="inlineStr"/>
    </row>
    <row r="16">
      <c r="A16" s="31" t="inlineStr">
        <is>
          <t>条件付き判定ライン</t>
        </is>
      </c>
      <c r="B16" s="25" t="n">
        <v>0.1</v>
      </c>
      <c r="C16" s="40" t="inlineStr">
        <is>
          <t>税抜売上比</t>
        </is>
      </c>
      <c r="D16" s="15" t="inlineStr">
        <is>
          <t>10〜15%は送料・原価しだいで15%に届く『条件付き』</t>
        </is>
      </c>
      <c r="E16" s="15" t="inlineStr"/>
    </row>
    <row r="18">
      <c r="A18" s="4" t="inlineStr">
        <is>
          <t>Amazon販売手数料率（2026年4月1日改定後・税抜表示。別途消費税）</t>
        </is>
      </c>
    </row>
    <row r="19">
      <c r="A19" s="5" t="inlineStr">
        <is>
          <t>カテゴリ</t>
        </is>
      </c>
      <c r="B19" s="5" t="inlineStr">
        <is>
          <t>手数料率</t>
        </is>
      </c>
      <c r="C19" s="5" t="inlineStr">
        <is>
          <t>備考</t>
        </is>
      </c>
    </row>
    <row r="20">
      <c r="A20" s="40" t="inlineStr">
        <is>
          <t>ホーム&amp;キッチン</t>
        </is>
      </c>
      <c r="B20" s="25" t="n">
        <v>0.154</v>
      </c>
      <c r="C20" s="40" t="inlineStr">
        <is>
          <t>15%＋0.4pt（売上750円超）</t>
        </is>
      </c>
      <c r="D20" s="11" t="inlineStr">
        <is>
          <t>出典：https://stockcrew.co.jp/insights/amazon-fee-2026 ／ 販売手数料は税抜表示：https://brandbuppan.jp/amazon-selling-fee-tax/</t>
        </is>
      </c>
    </row>
    <row r="21">
      <c r="A21" s="40" t="inlineStr">
        <is>
          <t>ペット用品</t>
        </is>
      </c>
      <c r="B21" s="25" t="n">
        <v>0.154</v>
      </c>
      <c r="C21" s="40" t="inlineStr">
        <is>
          <t>15%＋0.4pt</t>
        </is>
      </c>
    </row>
    <row r="22">
      <c r="A22" s="40" t="inlineStr">
        <is>
          <t>DIY・工具・ガーデン</t>
        </is>
      </c>
      <c r="B22" s="25" t="n">
        <v>0.154</v>
      </c>
      <c r="C22" s="40" t="inlineStr">
        <is>
          <t>15%＋0.4pt</t>
        </is>
      </c>
    </row>
    <row r="23">
      <c r="A23" s="40" t="inlineStr">
        <is>
          <t>文房具・オフィス用品</t>
        </is>
      </c>
      <c r="B23" s="25" t="n">
        <v>0.154</v>
      </c>
      <c r="C23" s="40" t="inlineStr">
        <is>
          <t>15%＋0.4pt</t>
        </is>
      </c>
    </row>
    <row r="24">
      <c r="A24" s="40" t="inlineStr">
        <is>
          <t>産業・研究開発用品</t>
        </is>
      </c>
      <c r="B24" s="25" t="n">
        <v>0.154</v>
      </c>
      <c r="C24" s="40" t="inlineStr">
        <is>
          <t>15%＋0.4pt</t>
        </is>
      </c>
    </row>
    <row r="25">
      <c r="A25" s="40" t="inlineStr">
        <is>
          <t>スポーツ&amp;アウトドア</t>
        </is>
      </c>
      <c r="B25" s="25" t="n">
        <v>0.104</v>
      </c>
      <c r="C25" s="40" t="inlineStr">
        <is>
          <t>10%＋0.4pt</t>
        </is>
      </c>
    </row>
    <row r="26">
      <c r="A26" s="40" t="inlineStr">
        <is>
          <t>車&amp;バイク</t>
        </is>
      </c>
      <c r="B26" s="25" t="n">
        <v>0.104</v>
      </c>
      <c r="C26" s="40" t="inlineStr">
        <is>
          <t>10%＋0.4pt</t>
        </is>
      </c>
    </row>
    <row r="27">
      <c r="A27" s="40" t="inlineStr">
        <is>
          <t>ビューティー（参考）</t>
        </is>
      </c>
      <c r="B27" s="25" t="n">
        <v>0.104</v>
      </c>
      <c r="C27" s="40" t="inlineStr">
        <is>
          <t>要確認</t>
        </is>
      </c>
    </row>
    <row r="28">
      <c r="A28" s="40" t="inlineStr">
        <is>
          <t>家具（参考）</t>
        </is>
      </c>
      <c r="B28" s="25" t="n">
        <v>0.154</v>
      </c>
      <c r="C28" s="40" t="inlineStr">
        <is>
          <t>要確認</t>
        </is>
      </c>
    </row>
    <row r="31">
      <c r="A31" s="4" t="inlineStr">
        <is>
          <t>国内送料表（自社発送＝天瞳倉庫からの出荷を想定・税抜）</t>
        </is>
      </c>
    </row>
    <row r="32">
      <c r="A32" s="11" t="inlineStr">
        <is>
          <t>仮置き値：公示運賃（佐川 飛脚ラージ 関東→関東 170サイズ2,600円〜260サイズ6,420円、ヤマト宅急便は200サイズ・30kgまで）から契約割引を見込んだ想定。天瞳の送料資料の金額に置き換えてください。区分は3辺合計と重量の大きい方で決まります。</t>
        </is>
      </c>
    </row>
    <row r="33">
      <c r="A33" s="5" t="inlineStr">
        <is>
          <t>区分No</t>
        </is>
      </c>
      <c r="B33" s="5" t="inlineStr">
        <is>
          <t>サイズ区分</t>
        </is>
      </c>
      <c r="C33" s="5" t="inlineStr">
        <is>
          <t>3辺合計の下限(cm)</t>
        </is>
      </c>
      <c r="D33" s="5" t="inlineStr">
        <is>
          <t>3辺合計の上限(cm)</t>
        </is>
      </c>
      <c r="E33" s="5" t="inlineStr">
        <is>
          <t>送料(円・税抜)</t>
        </is>
      </c>
      <c r="F33" s="5" t="inlineStr">
        <is>
          <t>想定キャリア・備考</t>
        </is>
      </c>
      <c r="H33" s="5" t="inlineStr">
        <is>
          <t>重量の下限(kg)</t>
        </is>
      </c>
      <c r="I33" s="5" t="inlineStr">
        <is>
          <t>重量の上限(kg)</t>
        </is>
      </c>
      <c r="J33" s="5" t="inlineStr">
        <is>
          <t>最低区分No</t>
        </is>
      </c>
      <c r="K33" s="5" t="inlineStr">
        <is>
          <t>備考</t>
        </is>
      </c>
    </row>
    <row r="34">
      <c r="A34" s="28" t="n">
        <v>1</v>
      </c>
      <c r="B34" s="40" t="inlineStr">
        <is>
          <t>60サイズ</t>
        </is>
      </c>
      <c r="C34" s="42" t="n">
        <v>0</v>
      </c>
      <c r="D34" s="22" t="n">
        <v>60</v>
      </c>
      <c r="E34" s="41" t="n">
        <v>650</v>
      </c>
      <c r="F34" s="40" t="inlineStr">
        <is>
          <t>宅配便</t>
        </is>
      </c>
      <c r="H34" s="42" t="n">
        <v>0</v>
      </c>
      <c r="I34" s="22" t="n">
        <v>2</v>
      </c>
      <c r="J34" s="28" t="n">
        <v>1</v>
      </c>
      <c r="K34" s="40" t="inlineStr"/>
    </row>
    <row r="35">
      <c r="A35" s="28" t="n">
        <v>2</v>
      </c>
      <c r="B35" s="40" t="inlineStr">
        <is>
          <t>80サイズ</t>
        </is>
      </c>
      <c r="C35" s="42" t="n">
        <v>60.01</v>
      </c>
      <c r="D35" s="22" t="n">
        <v>80</v>
      </c>
      <c r="E35" s="41" t="n">
        <v>750</v>
      </c>
      <c r="F35" s="40" t="inlineStr">
        <is>
          <t>宅配便</t>
        </is>
      </c>
      <c r="H35" s="42" t="n">
        <v>2.01</v>
      </c>
      <c r="I35" s="22" t="n">
        <v>5</v>
      </c>
      <c r="J35" s="28" t="n">
        <v>2</v>
      </c>
      <c r="K35" s="40" t="inlineStr"/>
    </row>
    <row r="36">
      <c r="A36" s="28" t="n">
        <v>3</v>
      </c>
      <c r="B36" s="40" t="inlineStr">
        <is>
          <t>100サイズ</t>
        </is>
      </c>
      <c r="C36" s="42" t="n">
        <v>80.01000000000001</v>
      </c>
      <c r="D36" s="22" t="n">
        <v>100</v>
      </c>
      <c r="E36" s="41" t="n">
        <v>900</v>
      </c>
      <c r="F36" s="40" t="inlineStr">
        <is>
          <t>宅配便</t>
        </is>
      </c>
      <c r="H36" s="42" t="n">
        <v>5.01</v>
      </c>
      <c r="I36" s="22" t="n">
        <v>10</v>
      </c>
      <c r="J36" s="28" t="n">
        <v>3</v>
      </c>
      <c r="K36" s="40" t="inlineStr"/>
    </row>
    <row r="37">
      <c r="A37" s="28" t="n">
        <v>4</v>
      </c>
      <c r="B37" s="40" t="inlineStr">
        <is>
          <t>120サイズ</t>
        </is>
      </c>
      <c r="C37" s="42" t="n">
        <v>100.01</v>
      </c>
      <c r="D37" s="22" t="n">
        <v>120</v>
      </c>
      <c r="E37" s="41" t="n">
        <v>1050</v>
      </c>
      <c r="F37" s="40" t="inlineStr">
        <is>
          <t>宅配便</t>
        </is>
      </c>
      <c r="H37" s="42" t="n">
        <v>10.01</v>
      </c>
      <c r="I37" s="22" t="n">
        <v>15</v>
      </c>
      <c r="J37" s="28" t="n">
        <v>4</v>
      </c>
      <c r="K37" s="40" t="inlineStr"/>
    </row>
    <row r="38">
      <c r="A38" s="28" t="n">
        <v>5</v>
      </c>
      <c r="B38" s="40" t="inlineStr">
        <is>
          <t>140サイズ</t>
        </is>
      </c>
      <c r="C38" s="42" t="n">
        <v>120.01</v>
      </c>
      <c r="D38" s="22" t="n">
        <v>140</v>
      </c>
      <c r="E38" s="41" t="n">
        <v>1250</v>
      </c>
      <c r="F38" s="40" t="inlineStr">
        <is>
          <t>宅配便</t>
        </is>
      </c>
      <c r="H38" s="42" t="n">
        <v>15.01</v>
      </c>
      <c r="I38" s="22" t="n">
        <v>20</v>
      </c>
      <c r="J38" s="28" t="n">
        <v>5</v>
      </c>
      <c r="K38" s="40" t="inlineStr"/>
    </row>
    <row r="39">
      <c r="A39" s="28" t="n">
        <v>6</v>
      </c>
      <c r="B39" s="40" t="inlineStr">
        <is>
          <t>160サイズ</t>
        </is>
      </c>
      <c r="C39" s="42" t="n">
        <v>140.01</v>
      </c>
      <c r="D39" s="22" t="n">
        <v>160</v>
      </c>
      <c r="E39" s="41" t="n">
        <v>1450</v>
      </c>
      <c r="F39" s="40" t="inlineStr">
        <is>
          <t>宅配便（佐川は30kgまで）</t>
        </is>
      </c>
      <c r="H39" s="42" t="n">
        <v>20.01</v>
      </c>
      <c r="I39" s="22" t="n">
        <v>30</v>
      </c>
      <c r="J39" s="28" t="n">
        <v>6</v>
      </c>
      <c r="K39" s="40" t="inlineStr">
        <is>
          <t>160サイズ（佐川30kgまで）</t>
        </is>
      </c>
    </row>
    <row r="40">
      <c r="A40" s="28" t="n">
        <v>7</v>
      </c>
      <c r="B40" s="40" t="inlineStr">
        <is>
          <t>170サイズ</t>
        </is>
      </c>
      <c r="C40" s="42" t="n">
        <v>160.01</v>
      </c>
      <c r="D40" s="22" t="n">
        <v>170</v>
      </c>
      <c r="E40" s="41" t="n">
        <v>1900</v>
      </c>
      <c r="F40" s="40" t="inlineStr">
        <is>
          <t>佐川 飛脚ラージ（50kgまで）</t>
        </is>
      </c>
      <c r="H40" s="42" t="n">
        <v>30.01</v>
      </c>
      <c r="I40" s="22" t="n">
        <v>50</v>
      </c>
      <c r="J40" s="28" t="n">
        <v>7</v>
      </c>
      <c r="K40" s="40" t="inlineStr">
        <is>
          <t>飛脚ラージ170以上</t>
        </is>
      </c>
    </row>
    <row r="41">
      <c r="A41" s="28" t="n">
        <v>8</v>
      </c>
      <c r="B41" s="40" t="inlineStr">
        <is>
          <t>180サイズ</t>
        </is>
      </c>
      <c r="C41" s="42" t="n">
        <v>170.01</v>
      </c>
      <c r="D41" s="22" t="n">
        <v>180</v>
      </c>
      <c r="E41" s="41" t="n">
        <v>2200</v>
      </c>
      <c r="F41" s="40" t="inlineStr">
        <is>
          <t>飛脚ラージ／ヤマト180</t>
        </is>
      </c>
      <c r="H41" s="42" t="n">
        <v>50.01</v>
      </c>
      <c r="I41" s="22" t="n">
        <v>9999</v>
      </c>
      <c r="J41" s="28" t="n">
        <v>13</v>
      </c>
      <c r="K41" s="40" t="inlineStr">
        <is>
          <t>家財便・チャーター</t>
        </is>
      </c>
    </row>
    <row r="42">
      <c r="A42" s="28" t="n">
        <v>9</v>
      </c>
      <c r="B42" s="40" t="inlineStr">
        <is>
          <t>200サイズ</t>
        </is>
      </c>
      <c r="C42" s="42" t="n">
        <v>180.01</v>
      </c>
      <c r="D42" s="22" t="n">
        <v>200</v>
      </c>
      <c r="E42" s="41" t="n">
        <v>2700</v>
      </c>
      <c r="F42" s="40" t="inlineStr">
        <is>
          <t>飛脚ラージ／ヤマト200</t>
        </is>
      </c>
    </row>
    <row r="43">
      <c r="A43" s="28" t="n">
        <v>10</v>
      </c>
      <c r="B43" s="40" t="inlineStr">
        <is>
          <t>220サイズ</t>
        </is>
      </c>
      <c r="C43" s="42" t="n">
        <v>200.01</v>
      </c>
      <c r="D43" s="22" t="n">
        <v>220</v>
      </c>
      <c r="E43" s="41" t="n">
        <v>3300</v>
      </c>
      <c r="F43" s="40" t="inlineStr">
        <is>
          <t>飛脚ラージ</t>
        </is>
      </c>
    </row>
    <row r="44">
      <c r="A44" s="28" t="n">
        <v>11</v>
      </c>
      <c r="B44" s="40" t="inlineStr">
        <is>
          <t>240サイズ</t>
        </is>
      </c>
      <c r="C44" s="42" t="n">
        <v>220.01</v>
      </c>
      <c r="D44" s="22" t="n">
        <v>240</v>
      </c>
      <c r="E44" s="41" t="n">
        <v>3900</v>
      </c>
      <c r="F44" s="40" t="inlineStr">
        <is>
          <t>飛脚ラージ</t>
        </is>
      </c>
    </row>
    <row r="45">
      <c r="A45" s="28" t="n">
        <v>12</v>
      </c>
      <c r="B45" s="40" t="inlineStr">
        <is>
          <t>260サイズ</t>
        </is>
      </c>
      <c r="C45" s="42" t="n">
        <v>240.01</v>
      </c>
      <c r="D45" s="22" t="n">
        <v>260</v>
      </c>
      <c r="E45" s="41" t="n">
        <v>4600</v>
      </c>
      <c r="F45" s="40" t="inlineStr">
        <is>
          <t>飛脚ラージ（上限）</t>
        </is>
      </c>
    </row>
    <row r="46">
      <c r="A46" s="28" t="n">
        <v>13</v>
      </c>
      <c r="B46" s="40" t="inlineStr">
        <is>
          <t>家財便・チャーター</t>
        </is>
      </c>
      <c r="C46" s="42" t="n">
        <v>260.01</v>
      </c>
      <c r="D46" s="22" t="n">
        <v>9999</v>
      </c>
      <c r="E46" s="41" t="n">
        <v>7000</v>
      </c>
      <c r="F46" s="40" t="inlineStr">
        <is>
          <t>260超・50kg超。天瞳のチャーター便料金に差し替え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zoomScale="90"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80" customWidth="1" min="3" max="3"/>
  </cols>
  <sheetData>
    <row r="1">
      <c r="A1" s="1" t="inlineStr">
        <is>
          <t>出典一覧（2026-09-24 に検索で確認。検索結果の要約を含む）</t>
        </is>
      </c>
    </row>
    <row r="3">
      <c r="A3" s="5" t="inlineStr">
        <is>
          <t>区分</t>
        </is>
      </c>
      <c r="B3" s="5" t="inlineStr">
        <is>
          <t>内容</t>
        </is>
      </c>
      <c r="C3" s="5" t="inlineStr">
        <is>
          <t>URL</t>
        </is>
      </c>
    </row>
    <row r="4">
      <c r="A4" s="40" t="inlineStr">
        <is>
          <t>前提</t>
        </is>
      </c>
      <c r="B4" s="15" t="inlineStr">
        <is>
          <t>人民元/円 2026-09-24 約23.65円（売23.652/買23.659）、8月平均23.5645</t>
        </is>
      </c>
      <c r="C4" s="18" t="inlineStr">
        <is>
          <t>https://www.murc-kawasesouba.jp/fx/index.php</t>
        </is>
      </c>
    </row>
    <row r="5">
      <c r="A5" s="40" t="inlineStr">
        <is>
          <t>前提</t>
        </is>
      </c>
      <c r="B5" s="15" t="inlineStr">
        <is>
          <t>Amazon販売手数料 2026年4月1日改定：売上750円超は+0.4pt（15%→15.4%、10%→10.4%）</t>
        </is>
      </c>
      <c r="C5" s="18" t="inlineStr">
        <is>
          <t>https://stockcrew.co.jp/insights/amazon-fee-2026</t>
        </is>
      </c>
    </row>
    <row r="6">
      <c r="A6" s="40" t="inlineStr">
        <is>
          <t>前提</t>
        </is>
      </c>
      <c r="B6" s="15" t="inlineStr">
        <is>
          <t>販売手数料は税抜表示（別途消費税）、FBA手数料は税込表示</t>
        </is>
      </c>
      <c r="C6" s="18" t="inlineStr">
        <is>
          <t>https://brandbuppan.jp/amazon-selling-fee-tax/</t>
        </is>
      </c>
    </row>
    <row r="7">
      <c r="A7" s="40" t="inlineStr">
        <is>
          <t>前提</t>
        </is>
      </c>
      <c r="B7" s="15" t="inlineStr">
        <is>
          <t>FBA大型：8区分・最大200cm/40kg、特大型：4区分・最大260cm/50kg</t>
        </is>
      </c>
      <c r="C7" s="18" t="inlineStr">
        <is>
          <t>https://ecstarslab.com/blog/fba-tesuuryo/</t>
        </is>
      </c>
    </row>
    <row r="8">
      <c r="A8" s="40" t="inlineStr">
        <is>
          <t>前提</t>
        </is>
      </c>
      <c r="B8" s="15" t="inlineStr">
        <is>
          <t>海上混載 1CBM 7,800円の例（クレスト国際貿易）</t>
        </is>
      </c>
      <c r="C8" s="18" t="inlineStr">
        <is>
          <t>https://crest-international.jp/</t>
        </is>
      </c>
    </row>
    <row r="9">
      <c r="A9" s="40" t="inlineStr">
        <is>
          <t>前提</t>
        </is>
      </c>
      <c r="B9" s="15" t="inlineStr">
        <is>
          <t>海上混載 1m³あたり1,900元（約40,850円）・8〜14日の例</t>
        </is>
      </c>
      <c r="C9" s="18" t="inlineStr">
        <is>
          <t>https://makoto-mall.jp/blog/china-to-japan/</t>
        </is>
      </c>
    </row>
    <row r="10">
      <c r="A10" s="40" t="inlineStr">
        <is>
          <t>前提</t>
        </is>
      </c>
      <c r="B10" s="15" t="inlineStr">
        <is>
          <t>佐川 飛脚ラージサイズ 関東→関東 170サイズ2,600円〜260サイズ6,420円（公示）</t>
        </is>
      </c>
      <c r="C10" s="18" t="inlineStr">
        <is>
          <t>https://stockcrew.co.jp/insights/delivery-sagawa</t>
        </is>
      </c>
    </row>
    <row r="11">
      <c r="A11" s="40" t="inlineStr">
        <is>
          <t>前提</t>
        </is>
      </c>
      <c r="B11" s="15" t="inlineStr">
        <is>
          <t>ヤマト宅急便は200サイズ・30kgが上限、180サイズ公示3,060〜9,080円</t>
        </is>
      </c>
      <c r="C11" s="18" t="inlineStr">
        <is>
          <t>https://stockcrew.co.jp/insights/takuhaibin-size-comparison-2026</t>
        </is>
      </c>
    </row>
    <row r="12">
      <c r="A12" s="40" t="inlineStr">
        <is>
          <t>前提</t>
        </is>
      </c>
      <c r="B12" s="15" t="inlineStr">
        <is>
          <t>天瞳：大阪・千葉に約5,000m²の倉庫、月70本超のコンテナ、混載・会員向け発送システム</t>
        </is>
      </c>
      <c r="C12" s="18" t="inlineStr">
        <is>
          <t>https://www.ten-ton.com/service</t>
        </is>
      </c>
    </row>
    <row r="13">
      <c r="A13" s="40" t="inlineStr">
        <is>
          <t>宅配ボックス</t>
        </is>
      </c>
      <c r="B13" s="15" t="inlineStr">
        <is>
          <t>タンスのゲン 134L 旧モデル17,999円（商品名表記）</t>
        </is>
      </c>
      <c r="C13" s="18" t="inlineStr">
        <is>
          <t>https://store.shopping.yahoo.co.jp/tansu/17600169.html</t>
        </is>
      </c>
    </row>
    <row r="14">
      <c r="A14" s="40" t="inlineStr">
        <is>
          <t>宅配ボックス</t>
        </is>
      </c>
      <c r="B14" s="15" t="inlineStr">
        <is>
          <t>COVELL 140L 完成品・投函口3・IP55</t>
        </is>
      </c>
      <c r="C14" s="18" t="inlineStr">
        <is>
          <t>https://store.shopping.yahoo.co.jp/lyq/bi.html</t>
        </is>
      </c>
    </row>
    <row r="15">
      <c r="A15" s="40" t="inlineStr">
        <is>
          <t>キャットタワー</t>
        </is>
      </c>
      <c r="B15" s="15" t="inlineStr">
        <is>
          <t>PETEPELA 評価1,544件（カテゴリ平均868件）</t>
        </is>
      </c>
      <c r="C15" s="18" t="inlineStr">
        <is>
          <t>https://sakura-checker.jp/search/B099RYLG3S/</t>
        </is>
      </c>
    </row>
    <row r="16">
      <c r="A16" s="40" t="inlineStr">
        <is>
          <t>キャットタワー</t>
        </is>
      </c>
      <c r="B16" s="15" t="inlineStr">
        <is>
          <t>Amazon キャットタワー売れ筋ランキング</t>
        </is>
      </c>
      <c r="C16" s="18" t="inlineStr">
        <is>
          <t>https://www.amazon.co.jp/gp/bestsellers/pet-supplies/2155374051</t>
        </is>
      </c>
    </row>
    <row r="17">
      <c r="A17" s="40" t="inlineStr">
        <is>
          <t>ゴルフ</t>
        </is>
      </c>
      <c r="B17" s="15" t="inlineStr">
        <is>
          <t>Bonarca ゴルフバッグ収納ラック（¥10,900と検索結果に表示）</t>
        </is>
      </c>
      <c r="C17" s="18" t="inlineStr">
        <is>
          <t>https://www.amazon.co.jp/dp/B09TKTDXRQ</t>
        </is>
      </c>
    </row>
    <row r="18">
      <c r="A18" s="40" t="inlineStr">
        <is>
          <t>自転車</t>
        </is>
      </c>
      <c r="B18" s="15" t="inlineStr">
        <is>
          <t>足立製作所 2台用 棚付き 19,900円</t>
        </is>
      </c>
      <c r="C18" s="18" t="inlineStr">
        <is>
          <t>https://store.shopping.yahoo.co.jp/adachiseisakusyo/2434.html</t>
        </is>
      </c>
    </row>
    <row r="19">
      <c r="A19" s="40" t="inlineStr">
        <is>
          <t>プリンター</t>
        </is>
      </c>
      <c r="B19" s="15" t="inlineStr">
        <is>
          <t>PUNCIA 3段 プリンター台（W50×D40×H73・120kg）</t>
        </is>
      </c>
      <c r="C19" s="18" t="inlineStr">
        <is>
          <t>https://www.amazon.co.jp/dp/B0DCMV6DKF</t>
        </is>
      </c>
    </row>
    <row r="20">
      <c r="A20" s="40" t="inlineStr">
        <is>
          <t>プリンター</t>
        </is>
      </c>
      <c r="B20" s="15" t="inlineStr">
        <is>
          <t>Amazon プリンタ台・プリンタラック 売れ筋</t>
        </is>
      </c>
      <c r="C20" s="18" t="inlineStr">
        <is>
          <t>https://www.amazon.co.jp/gp/bestsellers/office-products/89299051</t>
        </is>
      </c>
    </row>
    <row r="21">
      <c r="A21" s="40" t="inlineStr">
        <is>
          <t>ランドリー</t>
        </is>
      </c>
      <c r="B21" s="15" t="inlineStr">
        <is>
          <t>山善 WJL-HS1</t>
        </is>
      </c>
      <c r="C21" s="18" t="inlineStr">
        <is>
          <t>https://www.amazon.co.jp/dp/B07Q51GGGB</t>
        </is>
      </c>
    </row>
    <row r="22">
      <c r="A22" s="40" t="inlineStr">
        <is>
          <t>ボール</t>
        </is>
      </c>
      <c r="B22" s="15" t="inlineStr">
        <is>
          <t>Earth Wing ボールカゴ 8,480円</t>
        </is>
      </c>
      <c r="C22" s="18" t="inlineStr">
        <is>
          <t>https://store.shopping.yahoo.co.jp/discount-spirits2/a000000131862-copy.html</t>
        </is>
      </c>
    </row>
    <row r="23">
      <c r="A23" s="40" t="inlineStr">
        <is>
          <t>サロン</t>
        </is>
      </c>
      <c r="B23" s="15" t="inlineStr">
        <is>
          <t>美容室ワゴン（bisella）</t>
        </is>
      </c>
      <c r="C23" s="18" t="inlineStr">
        <is>
          <t>https://www.bisella.com/wagon</t>
        </is>
      </c>
    </row>
    <row r="24">
      <c r="A24" s="40" t="inlineStr">
        <is>
          <t>タイヤラック</t>
        </is>
      </c>
      <c r="B24" s="15" t="inlineStr">
        <is>
          <t>アイリスオーヤマ 7045887（JRE MALL 6,980円）</t>
        </is>
      </c>
      <c r="C24" s="18" t="inlineStr">
        <is>
          <t>https://shopping.jreast.co.jp/index.php/products/detail/s243/s243-7045887</t>
        </is>
      </c>
    </row>
    <row r="25">
      <c r="A25" s="40" t="inlineStr">
        <is>
          <t>タイヤラック</t>
        </is>
      </c>
      <c r="B25" s="15" t="inlineStr">
        <is>
          <t>楽天 タイヤラック ランキング</t>
        </is>
      </c>
      <c r="C25" s="18" t="inlineStr">
        <is>
          <t>https://ranking.rakuten.co.jp/daily/566511/</t>
        </is>
      </c>
    </row>
    <row r="26">
      <c r="A26" s="40" t="inlineStr">
        <is>
          <t>猫トイレ</t>
        </is>
      </c>
      <c r="B26" s="15" t="inlineStr">
        <is>
          <t>アイリスオーヤマ CTC-890</t>
        </is>
      </c>
      <c r="C26" s="18" t="inlineStr">
        <is>
          <t>https://shopping.yahoo.co.jp/products/ee81941d87</t>
        </is>
      </c>
    </row>
    <row r="27">
      <c r="A27" s="40" t="inlineStr">
        <is>
          <t>台車</t>
        </is>
      </c>
      <c r="B27" s="15" t="inlineStr">
        <is>
          <t>アイリスプラザ 折りたたみ台車150kg（4,980〜5,230円）</t>
        </is>
      </c>
      <c r="C27" s="18" t="inlineStr">
        <is>
          <t>https://shopping.jreast.co.jp/products/detail/s243/s243-7051525</t>
        </is>
      </c>
    </row>
    <row r="28">
      <c r="A28" s="40" t="inlineStr">
        <is>
          <t>ホワイトボード</t>
        </is>
      </c>
      <c r="B28" s="15" t="inlineStr">
        <is>
          <t>SKK 1800×900（tenton-store）</t>
        </is>
      </c>
      <c r="C28" s="18" t="inlineStr">
        <is>
          <t>https://store.shopping.yahoo.co.jp/tenton-store/whiteboard90180.html</t>
        </is>
      </c>
    </row>
    <row r="29">
      <c r="A29" s="40" t="inlineStr">
        <is>
          <t>ゴミ箱ラック</t>
        </is>
      </c>
      <c r="B29" s="15" t="inlineStr">
        <is>
          <t>45L 3分別ゴミ箱（過去1か月300点以上の例）</t>
        </is>
      </c>
      <c r="C29" s="18" t="inlineStr">
        <is>
          <t>https://www.amazon.co.jp/s?k=%E3%82%B4%E3%83%9F%E7%AE%B1+45l+3%E5%88%86%E5%88%A5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2026-09-24T17:17:44Z</dcterms:created>
  <dcterms:modified xmlns:dcterms="http://purl.org/dc/terms/" xmlns:xsi="http://www.w3.org/2001/XMLSchema-instance" xsi:type="dcterms:W3CDTF">2026-09-24T17:17:44Z</dcterms:modified>
</cp:coreProperties>
</file>